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120" yWindow="756" windowWidth="12120" windowHeight="8940" tabRatio="697" activeTab="5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4"/>
  <c r="J22" i="3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<sst xmlns="http://schemas.openxmlformats.org/spreadsheetml/2006/main" count="462" uniqueCount="94">
  <si>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</si>
  <si>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</si>
  <si>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</si>
  <si>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</si>
  <si>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</si>
  <si>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</si>
  <si>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</si>
  <si>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</si>
  <si>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</si>
  <si>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</si>
  <si>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</si>
  <si>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</si>
  <si>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</si>
  <si>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</si>
  <si>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</si>
  <si>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</si>
  <si>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</si>
  <si>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</si>
  <si>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</si>
  <si>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</si>
  <si>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</si>
  <si>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</si>
  <si>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</si>
  <si>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</si>
  <si>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</si>
  <si>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</si>
  <si>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</si>
  <si>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الوظيفة</t>
  </si>
  <si>
    <t>--------------------------------------------------------------------------------------------------------------------------------------------------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</si>
  <si>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</si>
  <si>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</si>
  <si>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</si>
  <si>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</si>
  <si>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</si>
  <si>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</si>
  <si>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</si>
  <si>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</si>
  <si>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</si>
  <si>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</si>
  <si>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</si>
  <si>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</si>
  <si>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</si>
  <si>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</si>
  <si>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</si>
  <si>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</si>
  <si>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</si>
  <si>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</si>
  <si>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</si>
  <si>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</si>
  <si>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</si>
  <si>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</si>
  <si>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</si>
  <si>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</si>
  <si>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</si>
  <si>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</si>
  <si>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</si>
  <si>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</si>
  <si>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</si>
  <si>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</si>
  <si>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</si>
  <si>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</si>
  <si>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</si>
  <si>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</si>
  <si>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</si>
  <si>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</si>
  <si>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</si>
  <si>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</si>
  <si>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</si>
  <si>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</si>
  <si>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</si>
  <si>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</si>
  <si>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</si>
  <si>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</si>
  <si>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</si>
  <si>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</si>
  <si>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</si>
  <si>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</si>
  <si>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</si>
  <si>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</si>
  <si>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</si>
  <si>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</si>
  <si>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</si>
  <si>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</si>
  <si>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</si>
  <si>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 xml:space="preserve">هدرا عدلي جاد </t>
  </si>
  <si>
    <t>رئيس مجموعة مكتب التمويل ابوتشت</t>
  </si>
  <si>
    <t>الجارى رقم 1180001000006309ببنك مصر فرع رمسيس وذلك طبقا لحافظة كروت ميزة المرفقة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</si>
  <si>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</si>
  <si>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</si>
  <si>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</si>
  <si>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</si>
  <si>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بمكتب التمويل متناهى الصغر بفرشوط</t>
  </si>
  <si>
    <t>ش خور الحليمي بجوار مركز شرطة فرشوط - فرشوط       تليفاكس 2472222 /096</t>
  </si>
  <si>
    <t xml:space="preserve">ش خور الحليمي بجوار مركز شرطة فرشوط - فرشوط       تليفاكس 2472222 /096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</si>
</sst>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7" fillId="0" borderId="8" xfId="0" applyFont="1" applyBorder="1" applyAlignment="1"/>
    <xf numFmtId="0" fontId="0" fillId="0" borderId="1" xfId="0" quotePrefix="1" applyBorder="1"/>
    <xf numFmtId="0" fontId="7" fillId="0" borderId="0" xfId="0" applyFont="1" applyBorder="1" applyAlignment="1">
      <alignment vertical="center"/>
    </xf>
    <xf numFmtId="0" fontId="7" fillId="0" borderId="25" xfId="0" applyFont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 vertic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7" fillId="0" borderId="2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7" fillId="0" borderId="26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7" fillId="0" borderId="2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10</xdr:col>
      <xdr:colOff>372534</xdr:colOff>
      <xdr:row>68</xdr:row>
      <xdr:rowOff>469203</xdr:rowOff>
    </xdr:from>
    <xdr:ext cx="648614" cy="296010"/>
    <xdr:sp macro="" textlink="">
      <xdr:nvSpPr>
        <xdr:cNvPr id="13" name="Text Box 5"/>
        <xdr:cNvSpPr txBox="1">
          <a:spLocks noChangeArrowheads="1"/>
        </xdr:cNvSpPr>
      </xdr:nvSpPr>
      <xdr:spPr bwMode="auto">
        <a:xfrm>
          <a:off x="9981441319" y="22228536"/>
          <a:ext cx="648614" cy="2960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426164</xdr:colOff>
      <xdr:row>39</xdr:row>
      <xdr:rowOff>73660</xdr:rowOff>
    </xdr:from>
    <xdr:to>
      <xdr:col>11</xdr:col>
      <xdr:colOff>442981</xdr:colOff>
      <xdr:row>45</xdr:row>
      <xdr:rowOff>26788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88619" y="13222393"/>
          <a:ext cx="1447684" cy="107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102099</xdr:colOff>
      <xdr:row>39</xdr:row>
      <xdr:rowOff>65193</xdr:rowOff>
    </xdr:from>
    <xdr:to>
      <xdr:col>8</xdr:col>
      <xdr:colOff>695866</xdr:colOff>
      <xdr:row>43</xdr:row>
      <xdr:rowOff>129350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44601" y="13213926"/>
          <a:ext cx="593767" cy="843091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39</xdr:row>
      <xdr:rowOff>82127</xdr:rowOff>
    </xdr:from>
    <xdr:to>
      <xdr:col>5</xdr:col>
      <xdr:colOff>250771</xdr:colOff>
      <xdr:row>44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52829" y="13230860"/>
          <a:ext cx="702374" cy="867683"/>
        </a:xfrm>
        <a:prstGeom prst="rect">
          <a:avLst/>
        </a:prstGeom>
      </xdr:spPr>
    </xdr:pic>
    <xdr:clientData/>
  </xdr:twoCellAnchor>
  <xdr:twoCellAnchor editAs="oneCell">
    <xdr:from>
      <xdr:col>0</xdr:col>
      <xdr:colOff>107526</xdr:colOff>
      <xdr:row>39</xdr:row>
      <xdr:rowOff>132927</xdr:rowOff>
    </xdr:from>
    <xdr:to>
      <xdr:col>3</xdr:col>
      <xdr:colOff>65869</xdr:colOff>
      <xdr:row>44</xdr:row>
      <xdr:rowOff>168759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383465" y="13281660"/>
          <a:ext cx="1778676" cy="98409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18" zoomScale="90" zoomScaleNormal="100" zoomScaleSheetLayoutView="90" workbookViewId="0">
      <selection activeCell="K41" sqref="K41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5" t="s">
        <v>24</v>
      </c>
      <c r="C8" s="146"/>
      <c r="D8" s="146"/>
      <c r="E8" s="146"/>
      <c r="F8" s="146"/>
      <c r="G8" s="146"/>
      <c r="H8" s="146"/>
      <c r="I8" s="146"/>
      <c r="J8" s="146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 t="s">
        <v>89</v>
      </c>
      <c r="B11" s="92" t="str">
        <f>IFERROR(VLOOKUP(A11,Table1[#All],2,0),"")</f>
        <v/>
      </c>
      <c r="C11" s="92"/>
      <c r="D11" s="92"/>
      <c r="E11" s="93"/>
      <c r="F11" s="151" t="str">
        <f>IFERROR(VLOOKUP(A11,Table1[#All],3,0),"")</f>
        <v/>
      </c>
      <c r="G11" s="151"/>
      <c r="H11" s="151"/>
      <c r="I11" s="151"/>
      <c r="J11" s="151"/>
      <c r="K11" s="94" t="s">
        <v>30</v>
      </c>
      <c r="L11" s="95"/>
    </row>
    <row r="12" spans="1:12" s="91" customFormat="1" ht="28.2" customHeight="1" x14ac:dyDescent="0.4">
      <c r="A12" s="68" t="s">
        <v>89</v>
      </c>
      <c r="B12" s="92" t="str">
        <f>IFERROR(VLOOKUP(A12,Table1[#All],2,0),"")</f>
        <v/>
      </c>
      <c r="C12" s="92"/>
      <c r="D12" s="92"/>
      <c r="E12" s="93"/>
      <c r="F12" s="151" t="str">
        <f>IFERROR(VLOOKUP(A12,Table1[#All],3,0),"")</f>
        <v/>
      </c>
      <c r="G12" s="151"/>
      <c r="H12" s="151"/>
      <c r="I12" s="151"/>
      <c r="J12" s="151"/>
      <c r="K12" s="94" t="s">
        <v>30</v>
      </c>
      <c r="L12" s="95"/>
    </row>
    <row r="13" spans="1:12" s="91" customFormat="1" ht="28.2" customHeight="1" x14ac:dyDescent="0.4">
      <c r="A13" s="68" t="s">
        <v>89</v>
      </c>
      <c r="B13" s="92" t="str">
        <f>IFERROR(VLOOKUP(A13,Table1[#All],2,0),"")</f>
        <v/>
      </c>
      <c r="C13" s="92"/>
      <c r="D13" s="92"/>
      <c r="E13" s="93"/>
      <c r="F13" s="151" t="str">
        <f>IFERROR(VLOOKUP(A13,Table1[#All],3,0),"")</f>
        <v/>
      </c>
      <c r="G13" s="151"/>
      <c r="H13" s="151"/>
      <c r="I13" s="151"/>
      <c r="J13" s="151"/>
      <c r="K13" s="94" t="s">
        <v>30</v>
      </c>
      <c r="L13" s="95"/>
    </row>
    <row r="14" spans="1:12" s="91" customFormat="1" ht="28.2" customHeight="1" x14ac:dyDescent="0.4">
      <c r="A14" s="68" t="s">
        <v>89</v>
      </c>
      <c r="B14" s="92" t="str">
        <f>IFERROR(VLOOKUP(A14,Table1[#All],2,0),"")</f>
        <v/>
      </c>
      <c r="C14" s="92"/>
      <c r="D14" s="92"/>
      <c r="E14" s="93"/>
      <c r="F14" s="151" t="str">
        <f>IFERROR(VLOOKUP(A14,Table1[#All],3,0),"")</f>
        <v/>
      </c>
      <c r="G14" s="151"/>
      <c r="H14" s="151"/>
      <c r="I14" s="151"/>
      <c r="J14" s="151"/>
      <c r="K14" s="94" t="s">
        <v>30</v>
      </c>
      <c r="L14" s="95"/>
    </row>
    <row r="15" spans="1:12" s="91" customFormat="1" ht="28.2" customHeight="1" x14ac:dyDescent="0.4">
      <c r="A15" s="68" t="s">
        <v>89</v>
      </c>
      <c r="B15" s="92" t="str">
        <f>IFERROR(VLOOKUP(A15,Table1[#All],2,0),"")</f>
        <v/>
      </c>
      <c r="C15" s="92"/>
      <c r="D15" s="92"/>
      <c r="E15" s="93"/>
      <c r="F15" s="151" t="str">
        <f>IFERROR(VLOOKUP(A15,Table1[#All],3,0),"")</f>
        <v/>
      </c>
      <c r="G15" s="151"/>
      <c r="H15" s="151"/>
      <c r="I15" s="151"/>
      <c r="J15" s="151"/>
      <c r="K15" s="94" t="s">
        <v>30</v>
      </c>
      <c r="L15" s="95"/>
    </row>
    <row r="16" spans="1:12" s="91" customFormat="1" ht="28.2" customHeight="1" x14ac:dyDescent="0.4">
      <c r="A16" s="68" t="s">
        <v>89</v>
      </c>
      <c r="B16" s="92" t="str">
        <f>IFERROR(VLOOKUP(A16,Table1[#All],2,0),"")</f>
        <v/>
      </c>
      <c r="C16" s="92"/>
      <c r="D16" s="92"/>
      <c r="E16" s="93"/>
      <c r="F16" s="151" t="str">
        <f>IFERROR(VLOOKUP(A16,Table1[#All],3,0),"")</f>
        <v/>
      </c>
      <c r="G16" s="151"/>
      <c r="H16" s="151"/>
      <c r="I16" s="151"/>
      <c r="J16" s="151"/>
      <c r="K16" s="94" t="s">
        <v>30</v>
      </c>
      <c r="L16" s="95"/>
    </row>
    <row r="17" spans="1:13" s="91" customFormat="1" ht="28.2" customHeight="1" x14ac:dyDescent="0.4">
      <c r="A17" s="68" t="s">
        <v>89</v>
      </c>
      <c r="B17" s="92" t="str">
        <f>IFERROR(VLOOKUP(A17,Table1[#All],2,0),"")</f>
        <v/>
      </c>
      <c r="C17" s="92"/>
      <c r="D17" s="92"/>
      <c r="E17" s="93"/>
      <c r="F17" s="151" t="str">
        <f>IFERROR(VLOOKUP(A17,Table1[#All],3,0),"")</f>
        <v/>
      </c>
      <c r="G17" s="151"/>
      <c r="H17" s="151"/>
      <c r="I17" s="151"/>
      <c r="J17" s="151"/>
      <c r="K17" s="94" t="s">
        <v>30</v>
      </c>
      <c r="L17" s="95"/>
    </row>
    <row r="18" spans="1:13" s="91" customFormat="1" ht="28.2" customHeight="1" x14ac:dyDescent="0.4">
      <c r="A18" s="68" t="s">
        <v>89</v>
      </c>
      <c r="B18" s="92" t="str">
        <f>IFERROR(VLOOKUP(A18,Table1[#All],2,0),"")</f>
        <v/>
      </c>
      <c r="C18" s="92"/>
      <c r="D18" s="92"/>
      <c r="E18" s="93"/>
      <c r="F18" s="151" t="str">
        <f>IFERROR(VLOOKUP(A18,Table1[#All],3,0),"")</f>
        <v/>
      </c>
      <c r="G18" s="151"/>
      <c r="H18" s="151"/>
      <c r="I18" s="151"/>
      <c r="J18" s="151"/>
      <c r="K18" s="94" t="s">
        <v>30</v>
      </c>
      <c r="L18" s="95"/>
    </row>
    <row r="19" spans="1:13" s="91" customFormat="1" ht="28.2" customHeight="1" x14ac:dyDescent="0.4">
      <c r="A19" s="68" t="s">
        <v>89</v>
      </c>
      <c r="B19" s="92" t="str">
        <f>IFERROR(VLOOKUP(A19,Table1[#All],2,0),"")</f>
        <v/>
      </c>
      <c r="C19" s="92"/>
      <c r="D19" s="92"/>
      <c r="E19" s="93"/>
      <c r="F19" s="151" t="str">
        <f>IFERROR(VLOOKUP(A19,Table1[#All],3,0),"")</f>
        <v/>
      </c>
      <c r="G19" s="151"/>
      <c r="H19" s="151"/>
      <c r="I19" s="151"/>
      <c r="J19" s="151"/>
      <c r="K19" s="94" t="s">
        <v>30</v>
      </c>
      <c r="L19" s="95"/>
    </row>
    <row r="20" spans="1:13" ht="28.2" customHeight="1" x14ac:dyDescent="0.4">
      <c r="A20" s="69" t="s">
        <v>89</v>
      </c>
      <c r="B20" s="92" t="str">
        <f>IFERROR(VLOOKUP(A20,Table1[#All],2,0),"")</f>
        <v/>
      </c>
      <c r="C20" s="84"/>
      <c r="D20" s="84"/>
      <c r="E20" s="84"/>
      <c r="F20" s="151" t="str">
        <f>IFERROR(VLOOKUP(A20,Table1[#All],3,0),"")</f>
        <v/>
      </c>
      <c r="G20" s="151"/>
      <c r="H20" s="151"/>
      <c r="I20" s="151"/>
      <c r="J20" s="151"/>
      <c r="K20" s="94" t="s">
        <v>30</v>
      </c>
      <c r="L20" s="97"/>
    </row>
    <row r="21" spans="1:13" ht="24" customHeight="1" x14ac:dyDescent="0.4">
      <c r="A21" s="83"/>
      <c r="B21" s="98" t="s">
        <v>39</v>
      </c>
      <c r="C21" s="98"/>
      <c r="D21" s="98"/>
      <c r="E21" s="98"/>
      <c r="F21" s="98"/>
      <c r="G21" s="98"/>
      <c r="H21" s="98"/>
      <c r="I21" s="98" t="s">
        <v>40</v>
      </c>
      <c r="J21" s="99" t="s">
        <v>91</v>
      </c>
      <c r="K21" s="98"/>
      <c r="L21" s="100"/>
      <c r="M21" s="101"/>
    </row>
    <row r="22" spans="1:13" ht="29.25" customHeight="1" x14ac:dyDescent="0.4">
      <c r="A22" s="83"/>
      <c r="B22" s="99" t="s">
        <v>53</v>
      </c>
      <c r="C22" s="98"/>
      <c r="D22" s="98"/>
      <c r="E22" s="98"/>
      <c r="F22" s="70"/>
      <c r="G22" s="102" t="s">
        <v>2</v>
      </c>
      <c r="H22" s="103"/>
      <c r="I22" s="71"/>
      <c r="J22" s="152" t="str">
        <f>NoToTxt(I22,"جنيها","قرش")&amp;" لاغير"</f>
        <v>صفر لاغير</v>
      </c>
      <c r="K22" s="152"/>
      <c r="L22" s="153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7" t="s">
        <v>6</v>
      </c>
      <c r="E25" s="147"/>
      <c r="F25" s="147"/>
      <c r="G25" s="147"/>
      <c r="H25" s="147"/>
      <c r="I25" s="147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8" t="s">
        <v>44</v>
      </c>
      <c r="E26" s="148"/>
      <c r="F26" s="148"/>
      <c r="G26" s="148"/>
      <c r="H26" s="148"/>
      <c r="I26" s="148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48" t="s">
        <v>45</v>
      </c>
      <c r="E27" s="148"/>
      <c r="F27" s="148"/>
      <c r="G27" s="148"/>
      <c r="H27" s="148"/>
      <c r="I27" s="148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9"/>
      <c r="E28" s="150"/>
      <c r="F28" s="150"/>
      <c r="G28" s="150"/>
      <c r="H28" s="150"/>
      <c r="I28" s="150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9"/>
      <c r="E29" s="150"/>
      <c r="F29" s="150"/>
      <c r="G29" s="150"/>
      <c r="H29" s="150"/>
      <c r="I29" s="150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5" t="s">
        <v>9</v>
      </c>
      <c r="D30" s="156"/>
      <c r="E30" s="156"/>
      <c r="F30" s="156"/>
      <c r="G30" s="156"/>
      <c r="H30" s="156"/>
      <c r="I30" s="156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7" t="s">
        <v>6</v>
      </c>
      <c r="E32" s="147"/>
      <c r="F32" s="147"/>
      <c r="G32" s="147"/>
      <c r="H32" s="147"/>
      <c r="I32" s="147"/>
      <c r="J32" s="147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4" t="s">
        <v>17</v>
      </c>
      <c r="E33" s="154"/>
      <c r="F33" s="154"/>
      <c r="G33" s="154"/>
      <c r="H33" s="154"/>
      <c r="I33" s="154"/>
      <c r="J33" s="154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4" t="s">
        <v>19</v>
      </c>
      <c r="E35" s="154"/>
      <c r="F35" s="154"/>
      <c r="G35" s="157"/>
      <c r="H35" s="154"/>
      <c r="I35" s="154"/>
      <c r="J35" s="154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58" t="s">
        <v>41</v>
      </c>
      <c r="E36" s="159"/>
      <c r="F36" s="159"/>
      <c r="G36" s="159"/>
      <c r="H36" s="159"/>
      <c r="I36" s="159"/>
      <c r="J36" s="160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4" t="s">
        <v>11</v>
      </c>
      <c r="E37" s="154"/>
      <c r="F37" s="154"/>
      <c r="G37" s="154"/>
      <c r="H37" s="154"/>
      <c r="I37" s="154"/>
      <c r="J37" s="154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58" t="s">
        <v>42</v>
      </c>
      <c r="E38" s="159"/>
      <c r="F38" s="159"/>
      <c r="G38" s="159"/>
      <c r="H38" s="159"/>
      <c r="I38" s="159"/>
      <c r="J38" s="160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58" t="s">
        <v>21</v>
      </c>
      <c r="E39" s="159"/>
      <c r="F39" s="159"/>
      <c r="G39" s="159"/>
      <c r="H39" s="159"/>
      <c r="I39" s="159"/>
      <c r="J39" s="160"/>
      <c r="K39" s="78"/>
      <c r="L39" s="100"/>
      <c r="M39" s="101"/>
    </row>
    <row r="40" spans="1:13" ht="30.75" customHeight="1" thickBot="1" x14ac:dyDescent="0.45">
      <c r="A40" s="83"/>
      <c r="B40" s="104"/>
      <c r="C40" s="155" t="s">
        <v>12</v>
      </c>
      <c r="D40" s="156"/>
      <c r="E40" s="156"/>
      <c r="F40" s="156"/>
      <c r="G40" s="156"/>
      <c r="H40" s="156"/>
      <c r="I40" s="156"/>
      <c r="J40" s="156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41" t="s">
        <v>92</v>
      </c>
      <c r="C42" s="141"/>
      <c r="D42" s="141"/>
      <c r="E42" s="141"/>
      <c r="F42" s="141"/>
      <c r="G42" s="141"/>
      <c r="H42" s="141"/>
      <c r="I42" s="141"/>
      <c r="J42" s="141"/>
      <c r="K42" s="141"/>
      <c r="L42" s="120"/>
    </row>
    <row r="43" spans="1:13" ht="12" customHeight="1" x14ac:dyDescent="0.4">
      <c r="A43" s="79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62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3" t="s">
        <v>57</v>
      </c>
      <c r="C54" s="123"/>
      <c r="D54" s="123"/>
      <c r="E54" s="98"/>
      <c r="F54" s="98" t="s">
        <v>59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4</v>
      </c>
      <c r="B55" s="98" t="s">
        <v>31</v>
      </c>
      <c r="C55" s="124"/>
      <c r="D55" s="124"/>
      <c r="E55" s="98"/>
      <c r="F55" s="99" t="str">
        <f>IFERROR((VLOOKUP(A55,Table1[#All],2,0)),"")</f>
        <v>وائل مترى ناشد</v>
      </c>
      <c r="G55" s="98"/>
      <c r="H55" s="98"/>
      <c r="I55" s="98"/>
      <c r="J55" s="125" t="str">
        <f>IFERROR((VLOOKUP(A55,Table1[#All],3,0)),"")</f>
        <v>مدير مكتب التمويل متناهى الصغر بفرشوط</v>
      </c>
      <c r="K55" s="98"/>
      <c r="L55" s="85"/>
    </row>
    <row r="56" spans="1:12" ht="33.75" customHeight="1" x14ac:dyDescent="0.4">
      <c r="A56" s="83"/>
      <c r="B56" s="98" t="s">
        <v>32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61" t="s">
        <v>15</v>
      </c>
      <c r="C58" s="161"/>
      <c r="D58" s="98"/>
      <c r="E58" s="98"/>
      <c r="F58" s="98"/>
      <c r="G58" s="161" t="s">
        <v>16</v>
      </c>
      <c r="H58" s="161"/>
      <c r="I58" s="161"/>
      <c r="J58" s="161"/>
      <c r="K58" s="161"/>
      <c r="L58" s="85"/>
    </row>
    <row r="59" spans="1:12" ht="28.95" customHeight="1" x14ac:dyDescent="0.4">
      <c r="A59" s="131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43" t="s">
        <v>28</v>
      </c>
      <c r="H59" s="144"/>
      <c r="I59" s="144"/>
      <c r="J59" s="144"/>
      <c r="K59" s="144"/>
      <c r="L59" s="85"/>
    </row>
    <row r="60" spans="1:12" ht="28.95" customHeight="1" x14ac:dyDescent="0.4">
      <c r="A60" s="131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43" t="s">
        <v>28</v>
      </c>
      <c r="H60" s="144"/>
      <c r="I60" s="144"/>
      <c r="J60" s="144"/>
      <c r="K60" s="144"/>
      <c r="L60" s="85"/>
    </row>
    <row r="61" spans="1:12" ht="28.95" customHeight="1" x14ac:dyDescent="0.4">
      <c r="A61" s="131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43" t="s">
        <v>28</v>
      </c>
      <c r="H61" s="144"/>
      <c r="I61" s="144"/>
      <c r="J61" s="144"/>
      <c r="K61" s="144"/>
      <c r="L61" s="85"/>
    </row>
    <row r="62" spans="1:12" ht="28.95" customHeight="1" x14ac:dyDescent="0.4">
      <c r="A62" s="131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43" t="s">
        <v>28</v>
      </c>
      <c r="H62" s="144"/>
      <c r="I62" s="144"/>
      <c r="J62" s="144"/>
      <c r="K62" s="144"/>
      <c r="L62" s="85"/>
    </row>
    <row r="63" spans="1:12" ht="28.95" customHeight="1" x14ac:dyDescent="0.4">
      <c r="A63" s="131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43" t="s">
        <v>28</v>
      </c>
      <c r="H63" s="144"/>
      <c r="I63" s="144"/>
      <c r="J63" s="144"/>
      <c r="K63" s="144"/>
      <c r="L63" s="85"/>
    </row>
    <row r="64" spans="1:12" ht="28.95" customHeight="1" x14ac:dyDescent="0.4">
      <c r="A64" s="131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43" t="s">
        <v>28</v>
      </c>
      <c r="H64" s="144"/>
      <c r="I64" s="144"/>
      <c r="J64" s="144"/>
      <c r="K64" s="144"/>
      <c r="L64" s="85"/>
    </row>
    <row r="65" spans="1:12" ht="28.95" customHeight="1" x14ac:dyDescent="0.4">
      <c r="A65" s="131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43" t="s">
        <v>28</v>
      </c>
      <c r="H65" s="144"/>
      <c r="I65" s="144"/>
      <c r="J65" s="144"/>
      <c r="K65" s="144"/>
      <c r="L65" s="85"/>
    </row>
    <row r="66" spans="1:12" ht="28.95" customHeight="1" x14ac:dyDescent="0.4">
      <c r="A66" s="131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43" t="s">
        <v>28</v>
      </c>
      <c r="H66" s="144"/>
      <c r="I66" s="144"/>
      <c r="J66" s="144"/>
      <c r="K66" s="144"/>
      <c r="L66" s="85"/>
    </row>
    <row r="67" spans="1:12" ht="28.95" customHeight="1" x14ac:dyDescent="0.4">
      <c r="A67" s="131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43" t="s">
        <v>28</v>
      </c>
      <c r="H67" s="144"/>
      <c r="I67" s="144"/>
      <c r="J67" s="144"/>
      <c r="K67" s="144"/>
      <c r="L67" s="85"/>
    </row>
    <row r="68" spans="1:12" ht="28.95" customHeight="1" x14ac:dyDescent="0.4">
      <c r="A68" s="131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43" t="s">
        <v>28</v>
      </c>
      <c r="H68" s="144"/>
      <c r="I68" s="144"/>
      <c r="J68" s="144"/>
      <c r="K68" s="144"/>
      <c r="L68" s="85"/>
    </row>
    <row r="69" spans="1:12" ht="59.25" customHeight="1" x14ac:dyDescent="0.25">
      <c r="A69" s="83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85"/>
    </row>
    <row r="70" spans="1:12" ht="35.25" customHeight="1" thickBot="1" x14ac:dyDescent="0.3">
      <c r="A70" s="119"/>
      <c r="B70" s="142" t="s">
        <v>92</v>
      </c>
      <c r="C70" s="142"/>
      <c r="D70" s="142"/>
      <c r="E70" s="142"/>
      <c r="F70" s="142"/>
      <c r="G70" s="142"/>
      <c r="H70" s="142"/>
      <c r="I70" s="142"/>
      <c r="J70" s="142"/>
      <c r="K70" s="142"/>
      <c r="L70" s="127"/>
    </row>
  </sheetData>
  <sheetProtection selectLockedCells="1"/>
  <mergeCells count="40">
    <mergeCell ref="G68:K68"/>
    <mergeCell ref="G66:K66"/>
    <mergeCell ref="G62:K62"/>
    <mergeCell ref="G63:K63"/>
    <mergeCell ref="G64:K64"/>
    <mergeCell ref="G65:K65"/>
    <mergeCell ref="B58:C58"/>
    <mergeCell ref="G58:K58"/>
    <mergeCell ref="D39:J39"/>
    <mergeCell ref="C40:J40"/>
    <mergeCell ref="G59:K59"/>
    <mergeCell ref="G60:K60"/>
    <mergeCell ref="G61:K61"/>
    <mergeCell ref="F17:J17"/>
    <mergeCell ref="D33:J33"/>
    <mergeCell ref="D35:J35"/>
    <mergeCell ref="D36:J36"/>
    <mergeCell ref="D38:J38"/>
    <mergeCell ref="F18:J18"/>
    <mergeCell ref="F19:J19"/>
    <mergeCell ref="D37:J37"/>
    <mergeCell ref="D29:I29"/>
    <mergeCell ref="C30:I30"/>
    <mergeCell ref="D32:J32"/>
    <mergeCell ref="B42:K42"/>
    <mergeCell ref="B70:K70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topLeftCell="A13" zoomScale="90" zoomScaleNormal="100" zoomScaleSheetLayoutView="90" workbookViewId="0">
      <selection activeCell="B73" sqref="B73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  <c r="N8" s="136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 t="s">
        <v>89</v>
      </c>
      <c r="B11" s="6" t="str">
        <f>IFERROR(VLOOKUP(A11,Table1[#All],2,0),"")</f>
        <v/>
      </c>
      <c r="C11" s="6"/>
      <c r="D11" s="6"/>
      <c r="E11" s="7"/>
      <c r="F11" s="162" t="str">
        <f t="shared" ref="F11:F12" si="0">IFERROR(VLOOKUP(A11,الاعضاء,3,0),"")</f>
        <v/>
      </c>
      <c r="G11" s="162"/>
      <c r="H11" s="162"/>
      <c r="I11" s="162"/>
      <c r="J11" s="162"/>
      <c r="K11" s="50" t="s">
        <v>30</v>
      </c>
      <c r="L11" s="15"/>
    </row>
    <row r="12" spans="1:14" s="1" customFormat="1" ht="28.2" customHeight="1" x14ac:dyDescent="0.4">
      <c r="A12" s="68" t="s">
        <v>89</v>
      </c>
      <c r="B12" s="6" t="str">
        <f>IFERROR(VLOOKUP(A12,Table1[#All],2,0),"")</f>
        <v/>
      </c>
      <c r="C12" s="6"/>
      <c r="D12" s="6"/>
      <c r="E12" s="7"/>
      <c r="F12" s="162" t="str">
        <f t="shared" si="0"/>
        <v/>
      </c>
      <c r="G12" s="162"/>
      <c r="H12" s="162"/>
      <c r="I12" s="162"/>
      <c r="J12" s="162"/>
      <c r="K12" s="50" t="s">
        <v>30</v>
      </c>
      <c r="L12" s="15"/>
    </row>
    <row r="13" spans="1:14" s="1" customFormat="1" ht="28.2" customHeight="1" x14ac:dyDescent="0.4">
      <c r="A13" s="68" t="s">
        <v>89</v>
      </c>
      <c r="B13" s="6" t="str">
        <f>IFERROR(VLOOKUP(A13,Table1[#All],2,0),"")</f>
        <v/>
      </c>
      <c r="C13" s="6"/>
      <c r="D13" s="6"/>
      <c r="E13" s="7"/>
      <c r="F13" s="162" t="str">
        <f t="shared" ref="F13:F20" si="1">IFERROR(VLOOKUP(A13,الاعضاء,3,0),"")</f>
        <v/>
      </c>
      <c r="G13" s="162"/>
      <c r="H13" s="162"/>
      <c r="I13" s="162"/>
      <c r="J13" s="162"/>
      <c r="K13" s="50" t="s">
        <v>30</v>
      </c>
      <c r="L13" s="15"/>
    </row>
    <row r="14" spans="1:14" s="1" customFormat="1" ht="28.2" customHeight="1" x14ac:dyDescent="0.4">
      <c r="A14" s="68" t="s">
        <v>89</v>
      </c>
      <c r="B14" s="6" t="str">
        <f>IFERROR(VLOOKUP(A14,Table1[#All],2,0),"")</f>
        <v/>
      </c>
      <c r="C14" s="6"/>
      <c r="D14" s="6"/>
      <c r="E14" s="7"/>
      <c r="F14" s="162" t="str">
        <f t="shared" si="1"/>
        <v/>
      </c>
      <c r="G14" s="162"/>
      <c r="H14" s="162"/>
      <c r="I14" s="162"/>
      <c r="J14" s="162"/>
      <c r="K14" s="50" t="s">
        <v>30</v>
      </c>
      <c r="L14" s="15"/>
    </row>
    <row r="15" spans="1:14" s="1" customFormat="1" ht="28.2" customHeight="1" x14ac:dyDescent="0.4">
      <c r="A15" s="68" t="s">
        <v>89</v>
      </c>
      <c r="B15" s="6" t="str">
        <f>IFERROR(VLOOKUP(A15,Table1[#All],2,0),"")</f>
        <v/>
      </c>
      <c r="C15" s="6"/>
      <c r="D15" s="6"/>
      <c r="E15" s="7"/>
      <c r="F15" s="162" t="str">
        <f t="shared" si="1"/>
        <v/>
      </c>
      <c r="G15" s="162"/>
      <c r="H15" s="162"/>
      <c r="I15" s="162"/>
      <c r="J15" s="162"/>
      <c r="K15" s="50" t="s">
        <v>30</v>
      </c>
      <c r="L15" s="15"/>
    </row>
    <row r="16" spans="1:14" s="1" customFormat="1" ht="28.2" customHeight="1" x14ac:dyDescent="0.4">
      <c r="A16" s="68" t="s">
        <v>89</v>
      </c>
      <c r="B16" s="6" t="str">
        <f>IFERROR(VLOOKUP(A16,Table1[#All],2,0),"")</f>
        <v/>
      </c>
      <c r="C16" s="6"/>
      <c r="D16" s="6"/>
      <c r="E16" s="7"/>
      <c r="F16" s="162" t="str">
        <f t="shared" si="1"/>
        <v/>
      </c>
      <c r="G16" s="162"/>
      <c r="H16" s="162"/>
      <c r="I16" s="162"/>
      <c r="J16" s="162"/>
      <c r="K16" s="50" t="s">
        <v>30</v>
      </c>
      <c r="L16" s="15"/>
    </row>
    <row r="17" spans="1:13" s="1" customFormat="1" ht="28.2" customHeight="1" x14ac:dyDescent="0.4">
      <c r="A17" s="68" t="s">
        <v>89</v>
      </c>
      <c r="B17" s="6" t="str">
        <f>IFERROR(VLOOKUP(A17,Table1[#All],2,0),"")</f>
        <v/>
      </c>
      <c r="C17" s="6"/>
      <c r="D17" s="6"/>
      <c r="E17" s="7"/>
      <c r="F17" s="162" t="str">
        <f t="shared" si="1"/>
        <v/>
      </c>
      <c r="G17" s="162"/>
      <c r="H17" s="162"/>
      <c r="I17" s="162"/>
      <c r="J17" s="162"/>
      <c r="K17" s="50" t="s">
        <v>30</v>
      </c>
      <c r="L17" s="15"/>
    </row>
    <row r="18" spans="1:13" s="1" customFormat="1" ht="28.2" customHeight="1" x14ac:dyDescent="0.4">
      <c r="A18" s="68" t="s">
        <v>89</v>
      </c>
      <c r="B18" s="6" t="str">
        <f>IFERROR(VLOOKUP(A18,Table1[#All],2,0),"")</f>
        <v/>
      </c>
      <c r="C18" s="6"/>
      <c r="D18" s="6"/>
      <c r="E18" s="7"/>
      <c r="F18" s="162" t="str">
        <f t="shared" ref="F18" si="2">IFERROR(VLOOKUP(A18,الاعضاء,3,0),"")</f>
        <v/>
      </c>
      <c r="G18" s="162"/>
      <c r="H18" s="162"/>
      <c r="I18" s="162"/>
      <c r="J18" s="162"/>
      <c r="K18" s="50" t="s">
        <v>30</v>
      </c>
      <c r="L18" s="15"/>
    </row>
    <row r="19" spans="1:13" s="1" customFormat="1" ht="28.2" customHeight="1" x14ac:dyDescent="0.4">
      <c r="A19" s="68" t="s">
        <v>89</v>
      </c>
      <c r="B19" s="6" t="str">
        <f>IFERROR(VLOOKUP(A19,Table1[#All],2,0),"")</f>
        <v/>
      </c>
      <c r="C19" s="6"/>
      <c r="D19" s="6"/>
      <c r="E19" s="7"/>
      <c r="F19" s="162" t="str">
        <f t="shared" ref="F19" si="3">IFERROR(VLOOKUP(A19,الاعضاء,3,0),"")</f>
        <v/>
      </c>
      <c r="G19" s="162"/>
      <c r="H19" s="162"/>
      <c r="I19" s="162"/>
      <c r="J19" s="162"/>
      <c r="K19" s="50" t="s">
        <v>30</v>
      </c>
      <c r="L19" s="15"/>
    </row>
    <row r="20" spans="1:13" s="1" customFormat="1" ht="28.2" customHeight="1" x14ac:dyDescent="0.4">
      <c r="A20" s="68" t="s">
        <v>89</v>
      </c>
      <c r="B20" s="6" t="str">
        <f>IFERROR(VLOOKUP(A20,Table1[#All],2,0),"")</f>
        <v/>
      </c>
      <c r="C20" s="6"/>
      <c r="D20" s="6"/>
      <c r="E20" s="7"/>
      <c r="F20" s="162" t="str">
        <f t="shared" si="1"/>
        <v/>
      </c>
      <c r="G20" s="162"/>
      <c r="H20" s="162"/>
      <c r="I20" s="162"/>
      <c r="J20" s="162"/>
      <c r="K20" s="50" t="s">
        <v>30</v>
      </c>
      <c r="L20" s="15"/>
    </row>
    <row r="21" spans="1:13" ht="24" customHeight="1" x14ac:dyDescent="0.4">
      <c r="A21" s="12"/>
      <c r="B21" s="182" t="s">
        <v>33</v>
      </c>
      <c r="C21" s="182"/>
      <c r="D21" s="182"/>
      <c r="E21" s="182"/>
      <c r="F21" s="182"/>
      <c r="G21" s="182"/>
      <c r="H21" s="182"/>
      <c r="I21" s="55" t="s">
        <v>34</v>
      </c>
      <c r="J21" s="46" t="s">
        <v>91</v>
      </c>
      <c r="K21" s="22"/>
      <c r="L21" s="16"/>
      <c r="M21" s="2"/>
    </row>
    <row r="22" spans="1:13" ht="29.25" customHeight="1" x14ac:dyDescent="0.4">
      <c r="A22" s="12"/>
      <c r="B22" s="46" t="s">
        <v>53</v>
      </c>
      <c r="C22" s="22"/>
      <c r="D22" s="22"/>
      <c r="E22" s="22"/>
      <c r="F22" s="71"/>
      <c r="G22" s="63" t="s">
        <v>2</v>
      </c>
      <c r="H22" s="62"/>
      <c r="I22" s="71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8" t="s">
        <v>6</v>
      </c>
      <c r="E25" s="168"/>
      <c r="F25" s="168"/>
      <c r="G25" s="168"/>
      <c r="H25" s="168"/>
      <c r="I25" s="168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67</v>
      </c>
      <c r="E26" s="167"/>
      <c r="F26" s="167"/>
      <c r="G26" s="167"/>
      <c r="H26" s="167"/>
      <c r="I26" s="167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68</v>
      </c>
      <c r="E27" s="167"/>
      <c r="F27" s="167"/>
      <c r="G27" s="167"/>
      <c r="H27" s="167"/>
      <c r="I27" s="167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4" t="s">
        <v>78</v>
      </c>
      <c r="E28" s="175"/>
      <c r="F28" s="175"/>
      <c r="G28" s="175"/>
      <c r="H28" s="175"/>
      <c r="I28" s="176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80" t="s">
        <v>7</v>
      </c>
      <c r="E29" s="181"/>
      <c r="F29" s="181"/>
      <c r="G29" s="181"/>
      <c r="H29" s="181"/>
      <c r="I29" s="181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80" t="s">
        <v>8</v>
      </c>
      <c r="E30" s="181"/>
      <c r="F30" s="181"/>
      <c r="G30" s="181"/>
      <c r="H30" s="181"/>
      <c r="I30" s="181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8" t="s">
        <v>6</v>
      </c>
      <c r="E33" s="168"/>
      <c r="F33" s="168"/>
      <c r="G33" s="168"/>
      <c r="H33" s="168"/>
      <c r="I33" s="168"/>
      <c r="J33" s="168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9" t="s">
        <v>17</v>
      </c>
      <c r="E34" s="169"/>
      <c r="F34" s="169"/>
      <c r="G34" s="169"/>
      <c r="H34" s="169"/>
      <c r="I34" s="169"/>
      <c r="J34" s="169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9" t="s">
        <v>19</v>
      </c>
      <c r="E36" s="169"/>
      <c r="F36" s="169"/>
      <c r="G36" s="170"/>
      <c r="H36" s="169"/>
      <c r="I36" s="169"/>
      <c r="J36" s="169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1" t="s">
        <v>76</v>
      </c>
      <c r="E37" s="172"/>
      <c r="F37" s="172"/>
      <c r="G37" s="172"/>
      <c r="H37" s="172"/>
      <c r="I37" s="172"/>
      <c r="J37" s="173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9" t="s">
        <v>11</v>
      </c>
      <c r="E38" s="169"/>
      <c r="F38" s="169"/>
      <c r="G38" s="169"/>
      <c r="H38" s="169"/>
      <c r="I38" s="169"/>
      <c r="J38" s="169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1" t="s">
        <v>21</v>
      </c>
      <c r="E39" s="172"/>
      <c r="F39" s="172"/>
      <c r="G39" s="172"/>
      <c r="H39" s="172"/>
      <c r="I39" s="172"/>
      <c r="J39" s="173"/>
      <c r="K39" s="78"/>
      <c r="L39" s="16"/>
      <c r="M39" s="2"/>
    </row>
    <row r="40" spans="1:13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177" t="s">
        <v>92</v>
      </c>
      <c r="C42" s="177"/>
      <c r="D42" s="177"/>
      <c r="E42" s="177"/>
      <c r="F42" s="177"/>
      <c r="G42" s="177"/>
      <c r="H42" s="177"/>
      <c r="I42" s="177"/>
      <c r="J42" s="177"/>
      <c r="K42" s="177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57</v>
      </c>
      <c r="C54" s="35"/>
      <c r="D54" s="35"/>
      <c r="E54" s="22"/>
      <c r="F54" s="22" t="s">
        <v>59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4</v>
      </c>
      <c r="B55" s="22" t="s">
        <v>31</v>
      </c>
      <c r="C55" s="36"/>
      <c r="D55" s="36"/>
      <c r="E55" s="22"/>
      <c r="F55" s="46" t="str">
        <f>IFERROR((VLOOKUP(A55,Table1[#All],2,0)),"")</f>
        <v>وائل مترى ناشد</v>
      </c>
      <c r="G55" s="22"/>
      <c r="H55" s="22"/>
      <c r="I55" s="22"/>
      <c r="J55" s="54" t="str">
        <f>IFERROR((VLOOKUP(A55,Table1[#All],3,0)),"")</f>
        <v>مدير مكتب التمويل متناهى الصغر بفرشوط</v>
      </c>
      <c r="K55" s="22"/>
      <c r="L55" s="13"/>
    </row>
    <row r="56" spans="1:12" ht="33.75" customHeight="1" x14ac:dyDescent="0.4">
      <c r="A56" s="12"/>
      <c r="B56" s="22" t="s">
        <v>32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82" t="s">
        <v>15</v>
      </c>
      <c r="C58" s="182"/>
      <c r="D58" s="22"/>
      <c r="E58" s="22"/>
      <c r="F58" s="22"/>
      <c r="G58" s="182" t="s">
        <v>16</v>
      </c>
      <c r="H58" s="182"/>
      <c r="I58" s="182"/>
      <c r="J58" s="182"/>
      <c r="K58" s="182"/>
      <c r="L58" s="13"/>
    </row>
    <row r="59" spans="1:12" ht="28.95" customHeight="1" x14ac:dyDescent="0.4">
      <c r="A59" s="131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3" t="s">
        <v>28</v>
      </c>
      <c r="H59" s="164"/>
      <c r="I59" s="164"/>
      <c r="J59" s="164"/>
      <c r="K59" s="164"/>
      <c r="L59" s="13"/>
    </row>
    <row r="60" spans="1:12" ht="28.95" customHeight="1" x14ac:dyDescent="0.4">
      <c r="A60" s="131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3" t="s">
        <v>28</v>
      </c>
      <c r="H60" s="164"/>
      <c r="I60" s="164"/>
      <c r="J60" s="164"/>
      <c r="K60" s="164"/>
      <c r="L60" s="13"/>
    </row>
    <row r="61" spans="1:12" ht="28.95" customHeight="1" x14ac:dyDescent="0.4">
      <c r="A61" s="131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3" t="s">
        <v>28</v>
      </c>
      <c r="H61" s="164"/>
      <c r="I61" s="164"/>
      <c r="J61" s="164"/>
      <c r="K61" s="164"/>
      <c r="L61" s="13"/>
    </row>
    <row r="62" spans="1:12" ht="28.95" customHeight="1" x14ac:dyDescent="0.4">
      <c r="A62" s="131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3" t="s">
        <v>28</v>
      </c>
      <c r="H62" s="164"/>
      <c r="I62" s="164"/>
      <c r="J62" s="164"/>
      <c r="K62" s="164"/>
      <c r="L62" s="13"/>
    </row>
    <row r="63" spans="1:12" ht="28.95" customHeight="1" x14ac:dyDescent="0.4">
      <c r="A63" s="131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3" t="s">
        <v>28</v>
      </c>
      <c r="H63" s="164"/>
      <c r="I63" s="164"/>
      <c r="J63" s="164"/>
      <c r="K63" s="164"/>
      <c r="L63" s="13"/>
    </row>
    <row r="64" spans="1:12" ht="28.95" customHeight="1" x14ac:dyDescent="0.4">
      <c r="A64" s="131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3" t="s">
        <v>28</v>
      </c>
      <c r="H64" s="164"/>
      <c r="I64" s="164"/>
      <c r="J64" s="164"/>
      <c r="K64" s="164"/>
      <c r="L64" s="13"/>
    </row>
    <row r="65" spans="1:12" ht="28.95" customHeight="1" x14ac:dyDescent="0.4">
      <c r="A65" s="131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3" t="s">
        <v>28</v>
      </c>
      <c r="H65" s="164"/>
      <c r="I65" s="164"/>
      <c r="J65" s="164"/>
      <c r="K65" s="164"/>
      <c r="L65" s="13"/>
    </row>
    <row r="66" spans="1:12" ht="28.95" customHeight="1" x14ac:dyDescent="0.4">
      <c r="A66" s="131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3" t="s">
        <v>28</v>
      </c>
      <c r="H66" s="164"/>
      <c r="I66" s="164"/>
      <c r="J66" s="164"/>
      <c r="K66" s="164"/>
      <c r="L66" s="13"/>
    </row>
    <row r="67" spans="1:12" ht="28.95" customHeight="1" x14ac:dyDescent="0.4">
      <c r="A67" s="131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3" t="s">
        <v>28</v>
      </c>
      <c r="H67" s="164"/>
      <c r="I67" s="164"/>
      <c r="J67" s="164"/>
      <c r="K67" s="164"/>
      <c r="L67" s="13"/>
    </row>
    <row r="68" spans="1:12" ht="31.95" customHeight="1" x14ac:dyDescent="0.4">
      <c r="A68" s="131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3" t="s">
        <v>28</v>
      </c>
      <c r="H68" s="164"/>
      <c r="I68" s="164"/>
      <c r="J68" s="164"/>
      <c r="K68" s="164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2.8" x14ac:dyDescent="0.25">
      <c r="A70" s="12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177" t="s">
        <v>93</v>
      </c>
      <c r="C72" s="177"/>
      <c r="D72" s="177"/>
      <c r="E72" s="177"/>
      <c r="F72" s="177"/>
      <c r="G72" s="177"/>
      <c r="H72" s="177"/>
      <c r="I72" s="177"/>
      <c r="J72" s="177"/>
      <c r="K72" s="177"/>
      <c r="L72" s="30"/>
    </row>
  </sheetData>
  <sheetProtection selectLockedCells="1"/>
  <mergeCells count="41">
    <mergeCell ref="B72:K72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D33:J33"/>
    <mergeCell ref="D34:J34"/>
    <mergeCell ref="D38:J38"/>
    <mergeCell ref="C40:J40"/>
    <mergeCell ref="D36:J36"/>
    <mergeCell ref="D39:J39"/>
    <mergeCell ref="D37:J37"/>
    <mergeCell ref="D28:I28"/>
    <mergeCell ref="B42:K42"/>
    <mergeCell ref="B58:C58"/>
    <mergeCell ref="G58:K5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topLeftCell="A16" zoomScale="90" zoomScaleNormal="100" zoomScaleSheetLayoutView="90" workbookViewId="0">
      <selection activeCell="E92" sqref="E92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89</v>
      </c>
      <c r="B11" s="6" t="str">
        <f>IFERROR(VLOOKUP(A11,Table1[#All],2,0),"")</f>
        <v/>
      </c>
      <c r="C11" s="6"/>
      <c r="D11" s="6"/>
      <c r="E11" s="7"/>
      <c r="F11" s="191" t="str">
        <f>IFERROR(VLOOKUP(A11,DATA!B3:D13,3,0),"")</f>
        <v/>
      </c>
      <c r="G11" s="162"/>
      <c r="H11" s="162"/>
      <c r="I11" s="162"/>
      <c r="J11" s="162"/>
      <c r="K11" s="50" t="s">
        <v>30</v>
      </c>
      <c r="L11" s="15"/>
    </row>
    <row r="12" spans="1:12" s="1" customFormat="1" ht="28.2" customHeight="1" x14ac:dyDescent="0.4">
      <c r="A12" s="68" t="s">
        <v>89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50" t="s">
        <v>30</v>
      </c>
      <c r="L12" s="15"/>
    </row>
    <row r="13" spans="1:12" s="1" customFormat="1" ht="28.2" customHeight="1" x14ac:dyDescent="0.4">
      <c r="A13" s="68" t="s">
        <v>89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50" t="s">
        <v>30</v>
      </c>
      <c r="L13" s="15"/>
    </row>
    <row r="14" spans="1:12" s="1" customFormat="1" ht="28.2" customHeight="1" x14ac:dyDescent="0.4">
      <c r="A14" s="68" t="s">
        <v>89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50" t="s">
        <v>30</v>
      </c>
      <c r="L14" s="15"/>
    </row>
    <row r="15" spans="1:12" s="1" customFormat="1" ht="28.2" customHeight="1" x14ac:dyDescent="0.4">
      <c r="A15" s="68" t="s">
        <v>89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50" t="s">
        <v>30</v>
      </c>
      <c r="L15" s="15"/>
    </row>
    <row r="16" spans="1:12" s="1" customFormat="1" ht="28.2" customHeight="1" x14ac:dyDescent="0.4">
      <c r="A16" s="68" t="s">
        <v>89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50" t="s">
        <v>30</v>
      </c>
      <c r="L16" s="15"/>
    </row>
    <row r="17" spans="1:13" s="1" customFormat="1" ht="28.2" customHeight="1" x14ac:dyDescent="0.4">
      <c r="A17" s="68" t="s">
        <v>89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50" t="s">
        <v>30</v>
      </c>
      <c r="L17" s="15"/>
    </row>
    <row r="18" spans="1:13" s="1" customFormat="1" ht="28.2" customHeight="1" x14ac:dyDescent="0.4">
      <c r="A18" s="68" t="s">
        <v>89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50" t="s">
        <v>30</v>
      </c>
      <c r="L18" s="15"/>
    </row>
    <row r="19" spans="1:13" s="1" customFormat="1" ht="28.2" customHeight="1" x14ac:dyDescent="0.4">
      <c r="A19" s="68" t="s">
        <v>89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50" t="s">
        <v>30</v>
      </c>
      <c r="L19" s="15"/>
    </row>
    <row r="20" spans="1:13" s="1" customFormat="1" ht="28.2" customHeight="1" x14ac:dyDescent="0.4">
      <c r="A20" s="68" t="s">
        <v>89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50" t="s">
        <v>30</v>
      </c>
      <c r="L20" s="15"/>
    </row>
    <row r="21" spans="1:13" ht="24" customHeight="1" x14ac:dyDescent="0.4">
      <c r="A21" s="12"/>
      <c r="B21" s="190" t="s">
        <v>33</v>
      </c>
      <c r="C21" s="190"/>
      <c r="D21" s="190"/>
      <c r="E21" s="190"/>
      <c r="F21" s="190"/>
      <c r="G21" s="190"/>
      <c r="H21" s="190"/>
      <c r="I21" s="55" t="s">
        <v>43</v>
      </c>
      <c r="J21" s="46" t="s">
        <v>91</v>
      </c>
      <c r="K21" s="22"/>
      <c r="L21" s="16"/>
      <c r="M21" s="2"/>
    </row>
    <row r="22" spans="1:13" ht="29.25" customHeight="1" x14ac:dyDescent="0.4">
      <c r="A22" s="12"/>
      <c r="B22" s="46" t="s">
        <v>53</v>
      </c>
      <c r="C22" s="22"/>
      <c r="D22" s="22"/>
      <c r="E22" s="22"/>
      <c r="F22" s="70"/>
      <c r="G22" s="63" t="s">
        <v>2</v>
      </c>
      <c r="H22" s="62"/>
      <c r="I22" s="71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8" t="s">
        <v>6</v>
      </c>
      <c r="E25" s="168"/>
      <c r="F25" s="168"/>
      <c r="G25" s="168"/>
      <c r="H25" s="168"/>
      <c r="I25" s="168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7" t="s">
        <v>63</v>
      </c>
      <c r="E26" s="167"/>
      <c r="F26" s="167"/>
      <c r="G26" s="167"/>
      <c r="H26" s="167"/>
      <c r="I26" s="167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7" t="s">
        <v>64</v>
      </c>
      <c r="E27" s="167"/>
      <c r="F27" s="167"/>
      <c r="G27" s="167"/>
      <c r="H27" s="167"/>
      <c r="I27" s="167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7" t="s">
        <v>65</v>
      </c>
      <c r="E28" s="188"/>
      <c r="F28" s="188"/>
      <c r="G28" s="188"/>
      <c r="H28" s="188"/>
      <c r="I28" s="189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80" t="s">
        <v>66</v>
      </c>
      <c r="E29" s="181"/>
      <c r="F29" s="181"/>
      <c r="G29" s="181"/>
      <c r="H29" s="181"/>
      <c r="I29" s="181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80"/>
      <c r="E30" s="181"/>
      <c r="F30" s="181"/>
      <c r="G30" s="181"/>
      <c r="H30" s="181"/>
      <c r="I30" s="181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110">
        <f>SUM(J26:J30)</f>
        <v>0</v>
      </c>
      <c r="K31" s="133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8" t="s">
        <v>6</v>
      </c>
      <c r="E33" s="168"/>
      <c r="F33" s="168"/>
      <c r="G33" s="168"/>
      <c r="H33" s="168"/>
      <c r="I33" s="168"/>
      <c r="J33" s="168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9" t="s">
        <v>17</v>
      </c>
      <c r="E34" s="169"/>
      <c r="F34" s="169"/>
      <c r="G34" s="169"/>
      <c r="H34" s="169"/>
      <c r="I34" s="169"/>
      <c r="J34" s="169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9" t="s">
        <v>19</v>
      </c>
      <c r="E36" s="169"/>
      <c r="F36" s="169"/>
      <c r="G36" s="170"/>
      <c r="H36" s="169"/>
      <c r="I36" s="169"/>
      <c r="J36" s="169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1" t="s">
        <v>76</v>
      </c>
      <c r="E37" s="172"/>
      <c r="F37" s="172"/>
      <c r="G37" s="172"/>
      <c r="H37" s="172"/>
      <c r="I37" s="172"/>
      <c r="J37" s="173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9" t="s">
        <v>11</v>
      </c>
      <c r="E38" s="169"/>
      <c r="F38" s="169"/>
      <c r="G38" s="169"/>
      <c r="H38" s="169"/>
      <c r="I38" s="169"/>
      <c r="J38" s="169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1" t="s">
        <v>21</v>
      </c>
      <c r="E39" s="172"/>
      <c r="F39" s="172"/>
      <c r="G39" s="172"/>
      <c r="H39" s="172"/>
      <c r="I39" s="172"/>
      <c r="J39" s="173"/>
      <c r="K39" s="78"/>
      <c r="L39" s="16"/>
      <c r="M39" s="2"/>
    </row>
    <row r="40" spans="1:13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177" t="s">
        <v>92</v>
      </c>
      <c r="C42" s="177"/>
      <c r="D42" s="177"/>
      <c r="E42" s="177"/>
      <c r="F42" s="177"/>
      <c r="G42" s="177"/>
      <c r="H42" s="177"/>
      <c r="I42" s="177"/>
      <c r="J42" s="177"/>
      <c r="K42" s="177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92" t="s">
        <v>86</v>
      </c>
      <c r="C54" s="192"/>
      <c r="D54" s="192"/>
      <c r="E54" s="192"/>
      <c r="F54" s="192"/>
      <c r="G54" s="192"/>
      <c r="H54" s="192"/>
      <c r="I54" s="192"/>
      <c r="J54" s="192"/>
      <c r="K54" s="192"/>
      <c r="L54" s="13"/>
    </row>
    <row r="55" spans="1:12" ht="33.75" customHeight="1" x14ac:dyDescent="0.4">
      <c r="A55" s="53">
        <v>4</v>
      </c>
      <c r="B55" s="22" t="s">
        <v>31</v>
      </c>
      <c r="C55" s="36"/>
      <c r="D55" s="36"/>
      <c r="E55" s="22"/>
      <c r="F55" s="46" t="str">
        <f>IFERROR((VLOOKUP(A55,Table1[#All],2,0)),"")</f>
        <v>وائل مترى ناشد</v>
      </c>
      <c r="G55" s="22"/>
      <c r="H55" s="22"/>
      <c r="I55" s="22"/>
      <c r="J55" s="54" t="str">
        <f>IFERROR((VLOOKUP(A55,Table1[#All],3,0)),"")</f>
        <v>مدير مكتب التمويل متناهى الصغر بفرشوط</v>
      </c>
      <c r="K55" s="22"/>
      <c r="L55" s="13"/>
    </row>
    <row r="56" spans="1:12" ht="33.75" customHeight="1" x14ac:dyDescent="0.4">
      <c r="A56" s="12"/>
      <c r="B56" s="22" t="s">
        <v>32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82" t="s">
        <v>15</v>
      </c>
      <c r="C58" s="182"/>
      <c r="D58" s="22"/>
      <c r="E58" s="22"/>
      <c r="F58" s="22"/>
      <c r="G58" s="182" t="s">
        <v>16</v>
      </c>
      <c r="H58" s="182"/>
      <c r="I58" s="182"/>
      <c r="J58" s="182"/>
      <c r="K58" s="182"/>
      <c r="L58" s="13"/>
    </row>
    <row r="59" spans="1:12" ht="28.95" customHeight="1" x14ac:dyDescent="0.4">
      <c r="A59" s="131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3" t="s">
        <v>28</v>
      </c>
      <c r="H59" s="164"/>
      <c r="I59" s="164"/>
      <c r="J59" s="164"/>
      <c r="K59" s="164"/>
      <c r="L59" s="13"/>
    </row>
    <row r="60" spans="1:12" ht="28.95" customHeight="1" x14ac:dyDescent="0.4">
      <c r="A60" s="131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28</v>
      </c>
      <c r="H60" s="164"/>
      <c r="I60" s="164"/>
      <c r="J60" s="164"/>
      <c r="K60" s="164"/>
      <c r="L60" s="13"/>
    </row>
    <row r="61" spans="1:12" ht="28.95" customHeight="1" x14ac:dyDescent="0.4">
      <c r="A61" s="131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28</v>
      </c>
      <c r="H61" s="164"/>
      <c r="I61" s="164"/>
      <c r="J61" s="164"/>
      <c r="K61" s="164"/>
      <c r="L61" s="13"/>
    </row>
    <row r="62" spans="1:12" ht="28.95" customHeight="1" x14ac:dyDescent="0.4">
      <c r="A62" s="131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28</v>
      </c>
      <c r="H62" s="164"/>
      <c r="I62" s="164"/>
      <c r="J62" s="164"/>
      <c r="K62" s="164"/>
      <c r="L62" s="13"/>
    </row>
    <row r="63" spans="1:12" ht="28.95" customHeight="1" x14ac:dyDescent="0.4">
      <c r="A63" s="131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28</v>
      </c>
      <c r="H63" s="164"/>
      <c r="I63" s="164"/>
      <c r="J63" s="164"/>
      <c r="K63" s="164"/>
      <c r="L63" s="13"/>
    </row>
    <row r="64" spans="1:12" ht="28.95" customHeight="1" x14ac:dyDescent="0.4">
      <c r="A64" s="131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28</v>
      </c>
      <c r="H64" s="164"/>
      <c r="I64" s="164"/>
      <c r="J64" s="164"/>
      <c r="K64" s="164"/>
      <c r="L64" s="13"/>
    </row>
    <row r="65" spans="1:12" ht="28.95" customHeight="1" x14ac:dyDescent="0.4">
      <c r="A65" s="131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28</v>
      </c>
      <c r="H65" s="164"/>
      <c r="I65" s="164"/>
      <c r="J65" s="164"/>
      <c r="K65" s="164"/>
      <c r="L65" s="13"/>
    </row>
    <row r="66" spans="1:12" ht="28.95" customHeight="1" x14ac:dyDescent="0.4">
      <c r="A66" s="131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3" t="s">
        <v>28</v>
      </c>
      <c r="H66" s="164"/>
      <c r="I66" s="164"/>
      <c r="J66" s="164"/>
      <c r="K66" s="164"/>
      <c r="L66" s="13"/>
    </row>
    <row r="67" spans="1:12" ht="28.95" customHeight="1" x14ac:dyDescent="0.4">
      <c r="A67" s="131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3" t="s">
        <v>28</v>
      </c>
      <c r="H67" s="164"/>
      <c r="I67" s="164"/>
      <c r="J67" s="164"/>
      <c r="K67" s="164"/>
      <c r="L67" s="13"/>
    </row>
    <row r="68" spans="1:12" ht="28.95" customHeight="1" x14ac:dyDescent="0.4">
      <c r="A68" s="131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3" t="s">
        <v>28</v>
      </c>
      <c r="H68" s="164"/>
      <c r="I68" s="164"/>
      <c r="J68" s="164"/>
      <c r="K68" s="164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thickBot="1" x14ac:dyDescent="0.3">
      <c r="A70" s="12"/>
      <c r="B70" s="193"/>
      <c r="C70" s="193"/>
      <c r="D70" s="193"/>
      <c r="E70" s="193"/>
      <c r="F70" s="193"/>
      <c r="G70" s="193"/>
      <c r="H70" s="193"/>
      <c r="I70" s="193"/>
      <c r="J70" s="193"/>
      <c r="K70" s="193"/>
      <c r="L70" s="13"/>
    </row>
    <row r="71" spans="1:12" ht="35.25" customHeight="1" thickBot="1" x14ac:dyDescent="0.3">
      <c r="A71" s="19"/>
      <c r="B71" s="185" t="s">
        <v>93</v>
      </c>
      <c r="C71" s="186"/>
      <c r="D71" s="186"/>
      <c r="E71" s="186"/>
      <c r="F71" s="186"/>
      <c r="G71" s="186"/>
      <c r="H71" s="186"/>
      <c r="I71" s="186"/>
      <c r="J71" s="186"/>
      <c r="K71" s="186"/>
      <c r="L71" s="30"/>
    </row>
  </sheetData>
  <mergeCells count="43">
    <mergeCell ref="G67:K67"/>
    <mergeCell ref="G68:K68"/>
    <mergeCell ref="B70:K70"/>
    <mergeCell ref="G65:K65"/>
    <mergeCell ref="G66:K66"/>
    <mergeCell ref="G59:K59"/>
    <mergeCell ref="G60:K60"/>
    <mergeCell ref="G61:K61"/>
    <mergeCell ref="G62:K62"/>
    <mergeCell ref="G63:K63"/>
    <mergeCell ref="G64:K6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B71:K71"/>
    <mergeCell ref="D28:I28"/>
    <mergeCell ref="D37:J37"/>
    <mergeCell ref="D29:I29"/>
    <mergeCell ref="D30:I30"/>
    <mergeCell ref="C31:I31"/>
    <mergeCell ref="D33:J33"/>
    <mergeCell ref="D34:J34"/>
    <mergeCell ref="D36:J36"/>
    <mergeCell ref="D38:J38"/>
    <mergeCell ref="D39:J39"/>
    <mergeCell ref="C40:J40"/>
    <mergeCell ref="B58:C58"/>
    <mergeCell ref="G58:K58"/>
    <mergeCell ref="B54:K54"/>
    <mergeCell ref="B42:K4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topLeftCell="A17" zoomScale="90" zoomScaleNormal="100" zoomScaleSheetLayoutView="90" workbookViewId="0">
      <selection activeCell="B42" sqref="B42:K42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89</v>
      </c>
      <c r="B11" s="6" t="str">
        <f>IFERROR(VLOOKUP(A11,Table1[#All],2,0),"")</f>
        <v/>
      </c>
      <c r="C11" s="6"/>
      <c r="D11" s="6"/>
      <c r="E11" s="7"/>
      <c r="F11" s="191" t="str">
        <f>IFERROR(VLOOKUP(A11,DATA!B3:D13,3,0),"")</f>
        <v/>
      </c>
      <c r="G11" s="162"/>
      <c r="H11" s="162"/>
      <c r="I11" s="162"/>
      <c r="J11" s="162"/>
      <c r="K11" s="50" t="s">
        <v>30</v>
      </c>
      <c r="L11" s="15"/>
    </row>
    <row r="12" spans="1:12" s="1" customFormat="1" ht="28.2" customHeight="1" x14ac:dyDescent="0.4">
      <c r="A12" s="47" t="s">
        <v>89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50" t="s">
        <v>30</v>
      </c>
      <c r="L12" s="15"/>
    </row>
    <row r="13" spans="1:12" s="1" customFormat="1" ht="28.2" customHeight="1" x14ac:dyDescent="0.4">
      <c r="A13" s="47" t="s">
        <v>89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50" t="s">
        <v>30</v>
      </c>
      <c r="L13" s="15"/>
    </row>
    <row r="14" spans="1:12" s="1" customFormat="1" ht="28.2" customHeight="1" x14ac:dyDescent="0.4">
      <c r="A14" s="47" t="s">
        <v>89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50" t="s">
        <v>30</v>
      </c>
      <c r="L14" s="15"/>
    </row>
    <row r="15" spans="1:12" s="1" customFormat="1" ht="28.2" customHeight="1" x14ac:dyDescent="0.4">
      <c r="A15" s="47" t="s">
        <v>89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50" t="s">
        <v>30</v>
      </c>
      <c r="L15" s="15"/>
    </row>
    <row r="16" spans="1:12" s="1" customFormat="1" ht="28.2" customHeight="1" x14ac:dyDescent="0.4">
      <c r="A16" s="47" t="s">
        <v>89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50" t="s">
        <v>30</v>
      </c>
      <c r="L16" s="15"/>
    </row>
    <row r="17" spans="1:13" s="1" customFormat="1" ht="28.2" customHeight="1" x14ac:dyDescent="0.4">
      <c r="A17" s="47" t="s">
        <v>89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50" t="s">
        <v>30</v>
      </c>
      <c r="L17" s="15"/>
    </row>
    <row r="18" spans="1:13" s="1" customFormat="1" ht="28.2" customHeight="1" x14ac:dyDescent="0.4">
      <c r="A18" s="47" t="s">
        <v>89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50" t="s">
        <v>30</v>
      </c>
      <c r="L18" s="15"/>
    </row>
    <row r="19" spans="1:13" s="1" customFormat="1" ht="28.2" customHeight="1" x14ac:dyDescent="0.4">
      <c r="A19" s="47" t="s">
        <v>89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50" t="s">
        <v>30</v>
      </c>
      <c r="L19" s="15"/>
    </row>
    <row r="20" spans="1:13" s="1" customFormat="1" ht="28.2" customHeight="1" x14ac:dyDescent="0.4">
      <c r="A20" s="47" t="s">
        <v>89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50" t="s">
        <v>30</v>
      </c>
      <c r="L20" s="15"/>
    </row>
    <row r="21" spans="1:13" ht="24" customHeight="1" x14ac:dyDescent="0.4">
      <c r="A21" s="12"/>
      <c r="B21" s="129" t="s">
        <v>33</v>
      </c>
      <c r="C21" s="128"/>
      <c r="D21" s="128"/>
      <c r="E21" s="128"/>
      <c r="F21" s="200" t="s">
        <v>61</v>
      </c>
      <c r="G21" s="200"/>
      <c r="H21" s="200"/>
      <c r="I21" s="200"/>
      <c r="J21" s="130" t="s">
        <v>91</v>
      </c>
      <c r="K21" s="22"/>
      <c r="L21" s="16"/>
      <c r="M21" s="2"/>
    </row>
    <row r="22" spans="1:13" ht="29.25" customHeight="1" x14ac:dyDescent="0.4">
      <c r="A22" s="12"/>
      <c r="B22" s="63" t="s">
        <v>53</v>
      </c>
      <c r="C22" s="22"/>
      <c r="D22" s="22"/>
      <c r="E22" s="22"/>
      <c r="F22" s="65"/>
      <c r="G22" s="63" t="s">
        <v>2</v>
      </c>
      <c r="H22" s="62"/>
      <c r="I22" s="64"/>
      <c r="J22" s="198" t="str">
        <f>NoToTxt(I22,"جنيها","قرش")&amp;" لاغير"</f>
        <v>صفر لاغير</v>
      </c>
      <c r="K22" s="198"/>
      <c r="L22" s="199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8" t="s">
        <v>6</v>
      </c>
      <c r="E25" s="168"/>
      <c r="F25" s="168"/>
      <c r="G25" s="168"/>
      <c r="H25" s="168"/>
      <c r="I25" s="168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90</v>
      </c>
      <c r="E26" s="167"/>
      <c r="F26" s="167"/>
      <c r="G26" s="167"/>
      <c r="H26" s="167"/>
      <c r="I26" s="167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7" t="s">
        <v>54</v>
      </c>
      <c r="E27" s="167"/>
      <c r="F27" s="167"/>
      <c r="G27" s="167"/>
      <c r="H27" s="167"/>
      <c r="I27" s="167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80" t="s">
        <v>55</v>
      </c>
      <c r="E28" s="181"/>
      <c r="F28" s="181"/>
      <c r="G28" s="181"/>
      <c r="H28" s="181"/>
      <c r="I28" s="181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80"/>
      <c r="E29" s="181"/>
      <c r="F29" s="181"/>
      <c r="G29" s="181"/>
      <c r="H29" s="181"/>
      <c r="I29" s="181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5" t="s">
        <v>9</v>
      </c>
      <c r="D30" s="166"/>
      <c r="E30" s="166"/>
      <c r="F30" s="166"/>
      <c r="G30" s="166"/>
      <c r="H30" s="166"/>
      <c r="I30" s="166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8" t="s">
        <v>6</v>
      </c>
      <c r="E32" s="168"/>
      <c r="F32" s="168"/>
      <c r="G32" s="168"/>
      <c r="H32" s="168"/>
      <c r="I32" s="168"/>
      <c r="J32" s="168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9" t="s">
        <v>17</v>
      </c>
      <c r="E33" s="169"/>
      <c r="F33" s="169"/>
      <c r="G33" s="169"/>
      <c r="H33" s="169"/>
      <c r="I33" s="169"/>
      <c r="J33" s="169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6" t="s">
        <v>56</v>
      </c>
      <c r="E35" s="196"/>
      <c r="F35" s="196"/>
      <c r="G35" s="197"/>
      <c r="H35" s="196"/>
      <c r="I35" s="196"/>
      <c r="J35" s="196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1" t="s">
        <v>76</v>
      </c>
      <c r="E36" s="172"/>
      <c r="F36" s="172"/>
      <c r="G36" s="172"/>
      <c r="H36" s="172"/>
      <c r="I36" s="172"/>
      <c r="J36" s="173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9" t="s">
        <v>11</v>
      </c>
      <c r="E37" s="169"/>
      <c r="F37" s="169"/>
      <c r="G37" s="169"/>
      <c r="H37" s="169"/>
      <c r="I37" s="169"/>
      <c r="J37" s="169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1" t="s">
        <v>21</v>
      </c>
      <c r="E38" s="172"/>
      <c r="F38" s="172"/>
      <c r="G38" s="172"/>
      <c r="H38" s="172"/>
      <c r="I38" s="172"/>
      <c r="J38" s="173"/>
      <c r="K38" s="37"/>
      <c r="L38" s="16"/>
      <c r="M38" s="2"/>
    </row>
    <row r="39" spans="1:13" ht="30.75" customHeight="1" thickBot="1" x14ac:dyDescent="0.45">
      <c r="A39" s="12"/>
      <c r="B39" s="8"/>
      <c r="C39" s="165" t="s">
        <v>12</v>
      </c>
      <c r="D39" s="166"/>
      <c r="E39" s="166"/>
      <c r="F39" s="166"/>
      <c r="G39" s="166"/>
      <c r="H39" s="166"/>
      <c r="I39" s="166"/>
      <c r="J39" s="166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177" t="s">
        <v>93</v>
      </c>
      <c r="C41" s="177"/>
      <c r="D41" s="177"/>
      <c r="E41" s="177"/>
      <c r="F41" s="177"/>
      <c r="G41" s="177"/>
      <c r="H41" s="177"/>
      <c r="I41" s="177"/>
      <c r="J41" s="177"/>
      <c r="K41" s="177"/>
      <c r="L41" s="21"/>
    </row>
    <row r="42" spans="1:13" ht="12" customHeight="1" x14ac:dyDescent="0.4">
      <c r="A42" s="9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62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58</v>
      </c>
      <c r="C53" s="35"/>
      <c r="D53" s="35"/>
      <c r="E53" s="22"/>
      <c r="F53" s="22" t="s">
        <v>60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4</v>
      </c>
      <c r="B54" s="22" t="s">
        <v>31</v>
      </c>
      <c r="C54" s="36"/>
      <c r="D54" s="36"/>
      <c r="E54" s="22"/>
      <c r="F54" s="46" t="str">
        <f>IFERROR((VLOOKUP(A54,Table1[#All],2,0)),"")</f>
        <v>وائل مترى ناشد</v>
      </c>
      <c r="G54" s="22"/>
      <c r="H54" s="22"/>
      <c r="I54" s="22"/>
      <c r="J54" s="54" t="str">
        <f>IFERROR((VLOOKUP(A54,Table1[#All],3,0)),"")</f>
        <v>مدير مكتب التمويل متناهى الصغر بفرشوط</v>
      </c>
      <c r="K54" s="22"/>
      <c r="L54" s="13"/>
    </row>
    <row r="55" spans="1:12" ht="33.75" customHeight="1" x14ac:dyDescent="0.4">
      <c r="A55" s="12"/>
      <c r="B55" s="22" t="s">
        <v>32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1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3" t="s">
        <v>28</v>
      </c>
      <c r="H58" s="164"/>
      <c r="I58" s="164"/>
      <c r="J58" s="164"/>
      <c r="K58" s="164"/>
      <c r="L58" s="13"/>
    </row>
    <row r="59" spans="1:12" ht="28.95" customHeight="1" x14ac:dyDescent="0.4">
      <c r="A59" s="131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28</v>
      </c>
      <c r="H59" s="164"/>
      <c r="I59" s="164"/>
      <c r="J59" s="164"/>
      <c r="K59" s="164"/>
      <c r="L59" s="13"/>
    </row>
    <row r="60" spans="1:12" ht="28.95" customHeight="1" x14ac:dyDescent="0.4">
      <c r="A60" s="131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28</v>
      </c>
      <c r="H60" s="164"/>
      <c r="I60" s="164"/>
      <c r="J60" s="164"/>
      <c r="K60" s="164"/>
      <c r="L60" s="13"/>
    </row>
    <row r="61" spans="1:12" ht="28.95" customHeight="1" x14ac:dyDescent="0.4">
      <c r="A61" s="131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28</v>
      </c>
      <c r="H61" s="164"/>
      <c r="I61" s="164"/>
      <c r="J61" s="164"/>
      <c r="K61" s="164"/>
      <c r="L61" s="13"/>
    </row>
    <row r="62" spans="1:12" ht="28.95" customHeight="1" x14ac:dyDescent="0.4">
      <c r="A62" s="131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28</v>
      </c>
      <c r="H62" s="164"/>
      <c r="I62" s="164"/>
      <c r="J62" s="164"/>
      <c r="K62" s="164"/>
      <c r="L62" s="13"/>
    </row>
    <row r="63" spans="1:12" ht="28.95" customHeight="1" x14ac:dyDescent="0.4">
      <c r="A63" s="131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28</v>
      </c>
      <c r="H63" s="164"/>
      <c r="I63" s="164"/>
      <c r="J63" s="164"/>
      <c r="K63" s="164"/>
      <c r="L63" s="13"/>
    </row>
    <row r="64" spans="1:12" ht="28.95" customHeight="1" x14ac:dyDescent="0.4">
      <c r="A64" s="131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28</v>
      </c>
      <c r="H64" s="164"/>
      <c r="I64" s="164"/>
      <c r="J64" s="164"/>
      <c r="K64" s="164"/>
      <c r="L64" s="13"/>
    </row>
    <row r="65" spans="1:12" ht="28.95" customHeight="1" x14ac:dyDescent="0.4">
      <c r="A65" s="131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28</v>
      </c>
      <c r="H65" s="164"/>
      <c r="I65" s="164"/>
      <c r="J65" s="164"/>
      <c r="K65" s="164"/>
      <c r="L65" s="13"/>
    </row>
    <row r="66" spans="1:12" ht="28.95" customHeight="1" x14ac:dyDescent="0.4">
      <c r="A66" s="131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3" t="s">
        <v>28</v>
      </c>
      <c r="H66" s="164"/>
      <c r="I66" s="164"/>
      <c r="J66" s="164"/>
      <c r="K66" s="164"/>
      <c r="L66" s="13"/>
    </row>
    <row r="67" spans="1:12" ht="28.95" customHeight="1" x14ac:dyDescent="0.4">
      <c r="A67" s="131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3" t="s">
        <v>28</v>
      </c>
      <c r="H67" s="164"/>
      <c r="I67" s="164"/>
      <c r="J67" s="164"/>
      <c r="K67" s="164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thickBot="1" x14ac:dyDescent="0.3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3">
      <c r="A70" s="19"/>
      <c r="B70" s="195" t="s">
        <v>92</v>
      </c>
      <c r="C70" s="195"/>
      <c r="D70" s="195"/>
      <c r="E70" s="195"/>
      <c r="F70" s="195"/>
      <c r="G70" s="195"/>
      <c r="H70" s="195"/>
      <c r="I70" s="195"/>
      <c r="J70" s="195"/>
      <c r="K70" s="195"/>
      <c r="L70" s="30"/>
    </row>
  </sheetData>
  <mergeCells count="41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G65:K65"/>
    <mergeCell ref="G66:K66"/>
    <mergeCell ref="G67:K67"/>
    <mergeCell ref="B42:K42"/>
    <mergeCell ref="B70:K70"/>
    <mergeCell ref="G60:K60"/>
    <mergeCell ref="G61:K61"/>
    <mergeCell ref="G62:K62"/>
    <mergeCell ref="G63:K63"/>
    <mergeCell ref="G64:K64"/>
    <mergeCell ref="B57:C57"/>
    <mergeCell ref="G57:K57"/>
    <mergeCell ref="G58:K58"/>
    <mergeCell ref="G59:K59"/>
    <mergeCell ref="B41:K4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70"/>
  <sheetViews>
    <sheetView rightToLeft="1" view="pageBreakPreview" topLeftCell="A19" zoomScale="90" zoomScaleNormal="100" zoomScaleSheetLayoutView="90" workbookViewId="0">
      <selection activeCell="B69" sqref="B69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89</v>
      </c>
      <c r="B11" s="6" t="str">
        <f>IFERROR(VLOOKUP(A11,Table1[#All],2,0),"")</f>
        <v/>
      </c>
      <c r="C11" s="6"/>
      <c r="D11" s="6"/>
      <c r="E11" s="7"/>
      <c r="F11" s="191" t="str">
        <f>IFERROR(VLOOKUP(A11,DATA!B3:D13,3,0),"")</f>
        <v/>
      </c>
      <c r="G11" s="162"/>
      <c r="H11" s="162"/>
      <c r="I11" s="162"/>
      <c r="J11" s="162"/>
      <c r="K11" s="50" t="s">
        <v>30</v>
      </c>
      <c r="L11" s="15"/>
    </row>
    <row r="12" spans="1:12" s="1" customFormat="1" ht="28.2" customHeight="1" x14ac:dyDescent="0.4">
      <c r="A12" s="47" t="s">
        <v>89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50" t="s">
        <v>30</v>
      </c>
      <c r="L12" s="15"/>
    </row>
    <row r="13" spans="1:12" s="1" customFormat="1" ht="28.2" customHeight="1" x14ac:dyDescent="0.4">
      <c r="A13" s="47" t="s">
        <v>89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50" t="s">
        <v>30</v>
      </c>
      <c r="L13" s="15"/>
    </row>
    <row r="14" spans="1:12" s="1" customFormat="1" ht="28.2" customHeight="1" x14ac:dyDescent="0.4">
      <c r="A14" s="47" t="s">
        <v>89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50" t="s">
        <v>30</v>
      </c>
      <c r="L14" s="15"/>
    </row>
    <row r="15" spans="1:12" s="1" customFormat="1" ht="28.2" customHeight="1" x14ac:dyDescent="0.4">
      <c r="A15" s="47" t="s">
        <v>89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50" t="s">
        <v>30</v>
      </c>
      <c r="L15" s="15"/>
    </row>
    <row r="16" spans="1:12" s="1" customFormat="1" ht="28.2" customHeight="1" x14ac:dyDescent="0.4">
      <c r="A16" s="47" t="s">
        <v>89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50" t="s">
        <v>30</v>
      </c>
      <c r="L16" s="15"/>
    </row>
    <row r="17" spans="1:13" s="1" customFormat="1" ht="28.2" customHeight="1" x14ac:dyDescent="0.4">
      <c r="A17" s="47" t="s">
        <v>89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50" t="s">
        <v>30</v>
      </c>
      <c r="L17" s="15"/>
    </row>
    <row r="18" spans="1:13" s="1" customFormat="1" ht="28.2" customHeight="1" x14ac:dyDescent="0.4">
      <c r="A18" s="47" t="s">
        <v>89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50" t="s">
        <v>30</v>
      </c>
      <c r="L18" s="15"/>
    </row>
    <row r="19" spans="1:13" s="1" customFormat="1" ht="28.2" customHeight="1" x14ac:dyDescent="0.4">
      <c r="A19" s="47" t="s">
        <v>89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50" t="s">
        <v>30</v>
      </c>
      <c r="L19" s="15"/>
    </row>
    <row r="20" spans="1:13" s="1" customFormat="1" ht="28.2" customHeight="1" x14ac:dyDescent="0.4">
      <c r="A20" s="47" t="s">
        <v>89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50" t="s">
        <v>30</v>
      </c>
      <c r="L20" s="15"/>
    </row>
    <row r="21" spans="1:13" ht="24" customHeight="1" x14ac:dyDescent="0.4">
      <c r="A21" s="12"/>
      <c r="B21" s="129" t="s">
        <v>33</v>
      </c>
      <c r="C21" s="128"/>
      <c r="D21" s="128"/>
      <c r="E21" s="128"/>
      <c r="F21" s="200" t="s">
        <v>70</v>
      </c>
      <c r="G21" s="200"/>
      <c r="H21" s="200"/>
      <c r="I21" s="200"/>
      <c r="J21" s="130" t="s">
        <v>91</v>
      </c>
      <c r="K21" s="22"/>
      <c r="L21" s="16"/>
      <c r="M21" s="2"/>
    </row>
    <row r="22" spans="1:13" ht="29.25" customHeight="1" x14ac:dyDescent="0.4">
      <c r="A22" s="12"/>
      <c r="B22" s="63" t="s">
        <v>53</v>
      </c>
      <c r="C22" s="22"/>
      <c r="D22" s="22"/>
      <c r="E22" s="22"/>
      <c r="F22" s="65"/>
      <c r="G22" s="63" t="s">
        <v>2</v>
      </c>
      <c r="H22" s="62"/>
      <c r="I22" s="64"/>
      <c r="J22" s="198" t="str">
        <f>NoToTxt(I22,"جنيها","قرش")&amp;" لاغير"</f>
        <v>صفر لاغير</v>
      </c>
      <c r="K22" s="198"/>
      <c r="L22" s="199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8" t="s">
        <v>6</v>
      </c>
      <c r="E25" s="168"/>
      <c r="F25" s="168"/>
      <c r="G25" s="168"/>
      <c r="H25" s="168"/>
      <c r="I25" s="168"/>
      <c r="J25" s="132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71</v>
      </c>
      <c r="E26" s="167"/>
      <c r="F26" s="167"/>
      <c r="G26" s="167"/>
      <c r="H26" s="167"/>
      <c r="I26" s="167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80"/>
      <c r="E27" s="181"/>
      <c r="F27" s="181"/>
      <c r="G27" s="181"/>
      <c r="H27" s="181"/>
      <c r="I27" s="181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5" t="s">
        <v>9</v>
      </c>
      <c r="D28" s="166"/>
      <c r="E28" s="166"/>
      <c r="F28" s="166"/>
      <c r="G28" s="166"/>
      <c r="H28" s="166"/>
      <c r="I28" s="166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8" t="s">
        <v>6</v>
      </c>
      <c r="E30" s="168"/>
      <c r="F30" s="168"/>
      <c r="G30" s="168"/>
      <c r="H30" s="168"/>
      <c r="I30" s="168"/>
      <c r="J30" s="168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9" t="s">
        <v>17</v>
      </c>
      <c r="E31" s="169"/>
      <c r="F31" s="169"/>
      <c r="G31" s="169"/>
      <c r="H31" s="169"/>
      <c r="I31" s="169"/>
      <c r="J31" s="169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6" t="s">
        <v>56</v>
      </c>
      <c r="E33" s="196"/>
      <c r="F33" s="196"/>
      <c r="G33" s="197"/>
      <c r="H33" s="196"/>
      <c r="I33" s="196"/>
      <c r="J33" s="196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1" t="s">
        <v>76</v>
      </c>
      <c r="E34" s="172"/>
      <c r="F34" s="172"/>
      <c r="G34" s="172"/>
      <c r="H34" s="172"/>
      <c r="I34" s="172"/>
      <c r="J34" s="173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9" t="s">
        <v>11</v>
      </c>
      <c r="E35" s="169"/>
      <c r="F35" s="169"/>
      <c r="G35" s="169"/>
      <c r="H35" s="169"/>
      <c r="I35" s="169"/>
      <c r="J35" s="169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1" t="s">
        <v>21</v>
      </c>
      <c r="E36" s="172"/>
      <c r="F36" s="172"/>
      <c r="G36" s="172"/>
      <c r="H36" s="172"/>
      <c r="I36" s="172"/>
      <c r="J36" s="173"/>
      <c r="K36" s="37"/>
      <c r="L36" s="16"/>
      <c r="M36" s="2"/>
    </row>
    <row r="37" spans="1:13" ht="30.75" customHeight="1" thickBot="1" x14ac:dyDescent="0.45">
      <c r="A37" s="12"/>
      <c r="B37" s="8"/>
      <c r="C37" s="165" t="s">
        <v>12</v>
      </c>
      <c r="D37" s="166"/>
      <c r="E37" s="166"/>
      <c r="F37" s="166"/>
      <c r="G37" s="166"/>
      <c r="H37" s="166"/>
      <c r="I37" s="166"/>
      <c r="J37" s="166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38" t="s">
        <v>93</v>
      </c>
      <c r="D39" s="138"/>
      <c r="E39" s="138"/>
      <c r="F39" s="138"/>
      <c r="G39" s="138"/>
      <c r="H39" s="138"/>
      <c r="I39" s="138"/>
      <c r="J39" s="138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202"/>
      <c r="C42" s="202"/>
      <c r="D42" s="202"/>
      <c r="E42" s="202"/>
      <c r="F42" s="202"/>
      <c r="G42" s="202"/>
      <c r="H42" s="202"/>
      <c r="I42" s="202"/>
      <c r="J42" s="202"/>
      <c r="K42" s="202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62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72</v>
      </c>
      <c r="C51" s="35"/>
      <c r="D51" s="35"/>
      <c r="E51" s="22"/>
      <c r="F51" s="22" t="s">
        <v>60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4</v>
      </c>
      <c r="B52" s="22" t="s">
        <v>31</v>
      </c>
      <c r="C52" s="36"/>
      <c r="D52" s="36"/>
      <c r="E52" s="22"/>
      <c r="F52" s="46" t="str">
        <f>IFERROR((VLOOKUP(A52,Table1[#All],2,0)),"")</f>
        <v>وائل مترى ناشد</v>
      </c>
      <c r="G52" s="22"/>
      <c r="H52" s="22"/>
      <c r="I52" s="22"/>
      <c r="J52" s="54" t="str">
        <f>IFERROR((VLOOKUP(A52,Table1[#All],3,0)),"")</f>
        <v>مدير مكتب التمويل متناهى الصغر بفرشوط</v>
      </c>
      <c r="K52" s="22"/>
      <c r="L52" s="13"/>
    </row>
    <row r="53" spans="1:12" ht="33.75" customHeight="1" x14ac:dyDescent="0.4">
      <c r="A53" s="12"/>
      <c r="B53" s="22" t="s">
        <v>32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>
        <v>4</v>
      </c>
      <c r="B55" s="182" t="s">
        <v>15</v>
      </c>
      <c r="C55" s="182"/>
      <c r="D55" s="22"/>
      <c r="E55" s="22"/>
      <c r="F55" s="22"/>
      <c r="G55" s="182" t="s">
        <v>16</v>
      </c>
      <c r="H55" s="182"/>
      <c r="I55" s="182"/>
      <c r="J55" s="182"/>
      <c r="K55" s="182"/>
      <c r="L55" s="13"/>
    </row>
    <row r="56" spans="1:12" ht="28.95" customHeight="1" x14ac:dyDescent="0.4">
      <c r="A56" s="131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3" t="s">
        <v>28</v>
      </c>
      <c r="H56" s="164"/>
      <c r="I56" s="164"/>
      <c r="J56" s="164"/>
      <c r="K56" s="164"/>
      <c r="L56" s="13"/>
    </row>
    <row r="57" spans="1:12" ht="28.95" customHeight="1" x14ac:dyDescent="0.4">
      <c r="A57" s="131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3" t="s">
        <v>28</v>
      </c>
      <c r="H57" s="164"/>
      <c r="I57" s="164"/>
      <c r="J57" s="164"/>
      <c r="K57" s="164"/>
      <c r="L57" s="13"/>
    </row>
    <row r="58" spans="1:12" ht="28.95" customHeight="1" x14ac:dyDescent="0.4">
      <c r="A58" s="131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3" t="s">
        <v>28</v>
      </c>
      <c r="H58" s="164"/>
      <c r="I58" s="164"/>
      <c r="J58" s="164"/>
      <c r="K58" s="164"/>
      <c r="L58" s="13"/>
    </row>
    <row r="59" spans="1:12" ht="28.95" customHeight="1" x14ac:dyDescent="0.4">
      <c r="A59" s="131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28</v>
      </c>
      <c r="H59" s="164"/>
      <c r="I59" s="164"/>
      <c r="J59" s="164"/>
      <c r="K59" s="164"/>
      <c r="L59" s="13"/>
    </row>
    <row r="60" spans="1:12" ht="28.95" customHeight="1" x14ac:dyDescent="0.4">
      <c r="A60" s="131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28</v>
      </c>
      <c r="H60" s="164"/>
      <c r="I60" s="164"/>
      <c r="J60" s="164"/>
      <c r="K60" s="164"/>
      <c r="L60" s="13"/>
    </row>
    <row r="61" spans="1:12" ht="28.95" customHeight="1" x14ac:dyDescent="0.4">
      <c r="A61" s="131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28</v>
      </c>
      <c r="H61" s="164"/>
      <c r="I61" s="164"/>
      <c r="J61" s="164"/>
      <c r="K61" s="164"/>
      <c r="L61" s="13"/>
    </row>
    <row r="62" spans="1:12" ht="28.95" customHeight="1" x14ac:dyDescent="0.4">
      <c r="A62" s="131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28</v>
      </c>
      <c r="H62" s="164"/>
      <c r="I62" s="164"/>
      <c r="J62" s="164"/>
      <c r="K62" s="164"/>
      <c r="L62" s="13"/>
    </row>
    <row r="63" spans="1:12" ht="28.95" customHeight="1" x14ac:dyDescent="0.4">
      <c r="A63" s="131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28</v>
      </c>
      <c r="H63" s="164"/>
      <c r="I63" s="164"/>
      <c r="J63" s="164"/>
      <c r="K63" s="164"/>
      <c r="L63" s="13"/>
    </row>
    <row r="64" spans="1:12" ht="28.95" customHeight="1" x14ac:dyDescent="0.4">
      <c r="A64" s="131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28</v>
      </c>
      <c r="H64" s="164"/>
      <c r="I64" s="164"/>
      <c r="J64" s="164"/>
      <c r="K64" s="164"/>
      <c r="L64" s="13"/>
    </row>
    <row r="65" spans="1:12" ht="28.95" customHeight="1" x14ac:dyDescent="0.4">
      <c r="A65" s="131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28</v>
      </c>
      <c r="H65" s="164"/>
      <c r="I65" s="164"/>
      <c r="J65" s="164"/>
      <c r="K65" s="164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139" t="s">
        <v>28</v>
      </c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177" t="s">
        <v>93</v>
      </c>
      <c r="C68" s="177"/>
      <c r="D68" s="177"/>
      <c r="E68" s="177"/>
      <c r="F68" s="177"/>
      <c r="G68" s="177"/>
      <c r="H68" s="177"/>
      <c r="I68" s="177"/>
      <c r="J68" s="177"/>
      <c r="K68" s="177"/>
      <c r="L68" s="30"/>
    </row>
    <row r="70" spans="1:12" x14ac:dyDescent="0.25">
      <c r="B70" s="201"/>
      <c r="C70" s="201"/>
      <c r="D70" s="201"/>
      <c r="E70" s="201"/>
      <c r="F70" s="201"/>
      <c r="G70" s="201"/>
      <c r="H70" s="201"/>
      <c r="I70" s="201"/>
      <c r="J70" s="201"/>
      <c r="K70" s="201"/>
    </row>
  </sheetData>
  <mergeCells count="39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B55:C55"/>
    <mergeCell ref="G55:K55"/>
    <mergeCell ref="B42:K42"/>
    <mergeCell ref="G57:K57"/>
    <mergeCell ref="G58:K58"/>
    <mergeCell ref="G59:K59"/>
    <mergeCell ref="G60:K60"/>
    <mergeCell ref="G61:K61"/>
    <mergeCell ref="B70:K70"/>
    <mergeCell ref="G63:K63"/>
    <mergeCell ref="G64:K64"/>
    <mergeCell ref="G65:K65"/>
    <mergeCell ref="B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tabSelected="1" view="pageBreakPreview" topLeftCell="A4" zoomScale="90" zoomScaleNormal="100" zoomScaleSheetLayoutView="90" workbookViewId="0">
      <selection activeCell="B72" sqref="B72:K72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89</v>
      </c>
      <c r="B11" s="6" t="str">
        <f>IFERROR(VLOOKUP(A11,Table1[#All],2,0),"")</f>
        <v/>
      </c>
      <c r="C11" s="6"/>
      <c r="D11" s="6"/>
      <c r="E11" s="7"/>
      <c r="F11" s="162" t="str">
        <f t="shared" ref="F11:F20" si="0">IFERROR(VLOOKUP(A11,الاعضاء,3,0),"")</f>
        <v/>
      </c>
      <c r="G11" s="162"/>
      <c r="H11" s="162"/>
      <c r="I11" s="162"/>
      <c r="J11" s="162"/>
      <c r="K11" s="50" t="s">
        <v>30</v>
      </c>
      <c r="L11" s="15"/>
    </row>
    <row r="12" spans="1:12" s="1" customFormat="1" ht="28.2" customHeight="1" x14ac:dyDescent="0.4">
      <c r="A12" s="68" t="s">
        <v>89</v>
      </c>
      <c r="B12" s="6" t="str">
        <f>IFERROR(VLOOKUP(A12,Table1[#All],2,0),"")</f>
        <v/>
      </c>
      <c r="C12" s="6"/>
      <c r="D12" s="6"/>
      <c r="E12" s="7"/>
      <c r="F12" s="162" t="str">
        <f t="shared" si="0"/>
        <v/>
      </c>
      <c r="G12" s="162"/>
      <c r="H12" s="162"/>
      <c r="I12" s="162"/>
      <c r="J12" s="162"/>
      <c r="K12" s="50" t="s">
        <v>30</v>
      </c>
      <c r="L12" s="15"/>
    </row>
    <row r="13" spans="1:12" s="1" customFormat="1" ht="28.2" customHeight="1" x14ac:dyDescent="0.4">
      <c r="A13" s="68" t="s">
        <v>89</v>
      </c>
      <c r="B13" s="6" t="str">
        <f>IFERROR(VLOOKUP(A13,Table1[#All],2,0),"")</f>
        <v/>
      </c>
      <c r="C13" s="6"/>
      <c r="D13" s="6"/>
      <c r="E13" s="7"/>
      <c r="F13" s="162" t="str">
        <f t="shared" si="0"/>
        <v/>
      </c>
      <c r="G13" s="162"/>
      <c r="H13" s="162"/>
      <c r="I13" s="162"/>
      <c r="J13" s="162"/>
      <c r="K13" s="50" t="s">
        <v>30</v>
      </c>
      <c r="L13" s="15"/>
    </row>
    <row r="14" spans="1:12" s="1" customFormat="1" ht="28.2" customHeight="1" x14ac:dyDescent="0.4">
      <c r="A14" s="68" t="s">
        <v>89</v>
      </c>
      <c r="B14" s="6" t="str">
        <f>IFERROR(VLOOKUP(A14,Table1[#All],2,0),"")</f>
        <v/>
      </c>
      <c r="C14" s="6"/>
      <c r="D14" s="6"/>
      <c r="E14" s="7"/>
      <c r="F14" s="162" t="str">
        <f t="shared" si="0"/>
        <v/>
      </c>
      <c r="G14" s="162"/>
      <c r="H14" s="162"/>
      <c r="I14" s="162"/>
      <c r="J14" s="162"/>
      <c r="K14" s="50" t="s">
        <v>30</v>
      </c>
      <c r="L14" s="15"/>
    </row>
    <row r="15" spans="1:12" s="1" customFormat="1" ht="28.2" customHeight="1" x14ac:dyDescent="0.4">
      <c r="A15" s="68" t="s">
        <v>89</v>
      </c>
      <c r="B15" s="6" t="str">
        <f>IFERROR(VLOOKUP(A15,Table1[#All],2,0),"")</f>
        <v/>
      </c>
      <c r="C15" s="6"/>
      <c r="D15" s="6"/>
      <c r="E15" s="7"/>
      <c r="F15" s="162" t="str">
        <f t="shared" si="0"/>
        <v/>
      </c>
      <c r="G15" s="162"/>
      <c r="H15" s="162"/>
      <c r="I15" s="162"/>
      <c r="J15" s="162"/>
      <c r="K15" s="50" t="s">
        <v>30</v>
      </c>
      <c r="L15" s="15"/>
    </row>
    <row r="16" spans="1:12" s="1" customFormat="1" ht="28.2" customHeight="1" x14ac:dyDescent="0.4">
      <c r="A16" s="68" t="s">
        <v>89</v>
      </c>
      <c r="B16" s="6" t="str">
        <f>IFERROR(VLOOKUP(A16,Table1[#All],2,0),"")</f>
        <v/>
      </c>
      <c r="C16" s="6"/>
      <c r="D16" s="6"/>
      <c r="E16" s="7"/>
      <c r="F16" s="162" t="str">
        <f t="shared" si="0"/>
        <v/>
      </c>
      <c r="G16" s="162"/>
      <c r="H16" s="162"/>
      <c r="I16" s="162"/>
      <c r="J16" s="162"/>
      <c r="K16" s="50" t="s">
        <v>30</v>
      </c>
      <c r="L16" s="15"/>
    </row>
    <row r="17" spans="1:13" s="1" customFormat="1" ht="28.2" customHeight="1" x14ac:dyDescent="0.4">
      <c r="A17" s="68" t="s">
        <v>89</v>
      </c>
      <c r="B17" s="6" t="str">
        <f>IFERROR(VLOOKUP(A17,Table1[#All],2,0),"")</f>
        <v/>
      </c>
      <c r="C17" s="6"/>
      <c r="D17" s="6"/>
      <c r="E17" s="7"/>
      <c r="F17" s="162" t="str">
        <f t="shared" si="0"/>
        <v/>
      </c>
      <c r="G17" s="162"/>
      <c r="H17" s="162"/>
      <c r="I17" s="162"/>
      <c r="J17" s="162"/>
      <c r="K17" s="50" t="s">
        <v>30</v>
      </c>
      <c r="L17" s="15"/>
    </row>
    <row r="18" spans="1:13" s="1" customFormat="1" ht="28.2" customHeight="1" x14ac:dyDescent="0.4">
      <c r="A18" s="68" t="s">
        <v>89</v>
      </c>
      <c r="B18" s="6" t="str">
        <f>IFERROR(VLOOKUP(A18,Table1[#All],2,0),"")</f>
        <v/>
      </c>
      <c r="C18" s="6"/>
      <c r="D18" s="6"/>
      <c r="E18" s="7"/>
      <c r="F18" s="162" t="str">
        <f t="shared" si="0"/>
        <v/>
      </c>
      <c r="G18" s="162"/>
      <c r="H18" s="162"/>
      <c r="I18" s="162"/>
      <c r="J18" s="162"/>
      <c r="K18" s="50" t="s">
        <v>30</v>
      </c>
      <c r="L18" s="15"/>
    </row>
    <row r="19" spans="1:13" s="1" customFormat="1" ht="28.2" customHeight="1" x14ac:dyDescent="0.4">
      <c r="A19" s="68" t="s">
        <v>89</v>
      </c>
      <c r="B19" s="6" t="str">
        <f>IFERROR(VLOOKUP(A19,Table1[#All],2,0),"")</f>
        <v/>
      </c>
      <c r="C19" s="6"/>
      <c r="D19" s="6"/>
      <c r="E19" s="7"/>
      <c r="F19" s="162" t="str">
        <f t="shared" si="0"/>
        <v/>
      </c>
      <c r="G19" s="162"/>
      <c r="H19" s="162"/>
      <c r="I19" s="162"/>
      <c r="J19" s="162"/>
      <c r="K19" s="50" t="s">
        <v>30</v>
      </c>
      <c r="L19" s="15"/>
    </row>
    <row r="20" spans="1:13" s="1" customFormat="1" ht="28.2" customHeight="1" x14ac:dyDescent="0.4">
      <c r="A20" s="68" t="s">
        <v>89</v>
      </c>
      <c r="B20" s="6" t="str">
        <f>IFERROR(VLOOKUP(A20,Table1[#All],2,0),"")</f>
        <v/>
      </c>
      <c r="C20" s="6"/>
      <c r="D20" s="6"/>
      <c r="E20" s="7"/>
      <c r="F20" s="162" t="str">
        <f t="shared" si="0"/>
        <v/>
      </c>
      <c r="G20" s="162"/>
      <c r="H20" s="162"/>
      <c r="I20" s="162"/>
      <c r="J20" s="162"/>
      <c r="K20" s="50" t="s">
        <v>30</v>
      </c>
      <c r="L20" s="15"/>
    </row>
    <row r="21" spans="1:13" ht="24" customHeight="1" x14ac:dyDescent="0.4">
      <c r="A21" s="12"/>
      <c r="B21" s="182" t="s">
        <v>33</v>
      </c>
      <c r="C21" s="182"/>
      <c r="D21" s="182"/>
      <c r="E21" s="182"/>
      <c r="F21" s="182"/>
      <c r="G21" s="182"/>
      <c r="H21" s="182"/>
      <c r="I21" s="135" t="s">
        <v>73</v>
      </c>
      <c r="J21" s="46" t="s">
        <v>91</v>
      </c>
      <c r="K21" s="22"/>
      <c r="L21" s="16"/>
      <c r="M21" s="2"/>
    </row>
    <row r="22" spans="1:13" ht="29.25" customHeight="1" x14ac:dyDescent="0.4">
      <c r="A22" s="12"/>
      <c r="B22" s="46" t="s">
        <v>53</v>
      </c>
      <c r="C22" s="22"/>
      <c r="D22" s="22"/>
      <c r="E22" s="22"/>
      <c r="F22" s="71"/>
      <c r="G22" s="63" t="s">
        <v>2</v>
      </c>
      <c r="H22" s="62"/>
      <c r="I22" s="71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8" t="s">
        <v>6</v>
      </c>
      <c r="E25" s="168"/>
      <c r="F25" s="168"/>
      <c r="G25" s="168"/>
      <c r="H25" s="168"/>
      <c r="I25" s="168"/>
      <c r="J25" s="13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74</v>
      </c>
      <c r="E26" s="167"/>
      <c r="F26" s="167"/>
      <c r="G26" s="167"/>
      <c r="H26" s="167"/>
      <c r="I26" s="167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75</v>
      </c>
      <c r="E27" s="167"/>
      <c r="F27" s="167"/>
      <c r="G27" s="167"/>
      <c r="H27" s="167"/>
      <c r="I27" s="167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4" t="s">
        <v>77</v>
      </c>
      <c r="E28" s="175"/>
      <c r="F28" s="175"/>
      <c r="G28" s="175"/>
      <c r="H28" s="175"/>
      <c r="I28" s="176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80" t="s">
        <v>7</v>
      </c>
      <c r="E29" s="181"/>
      <c r="F29" s="181"/>
      <c r="G29" s="181"/>
      <c r="H29" s="181"/>
      <c r="I29" s="181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80" t="s">
        <v>8</v>
      </c>
      <c r="E30" s="181"/>
      <c r="F30" s="181"/>
      <c r="G30" s="181"/>
      <c r="H30" s="181"/>
      <c r="I30" s="181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8" t="s">
        <v>6</v>
      </c>
      <c r="E33" s="168"/>
      <c r="F33" s="168"/>
      <c r="G33" s="168"/>
      <c r="H33" s="168"/>
      <c r="I33" s="168"/>
      <c r="J33" s="168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9" t="s">
        <v>17</v>
      </c>
      <c r="E34" s="169"/>
      <c r="F34" s="169"/>
      <c r="G34" s="169"/>
      <c r="H34" s="169"/>
      <c r="I34" s="169"/>
      <c r="J34" s="169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9" t="s">
        <v>19</v>
      </c>
      <c r="E36" s="169"/>
      <c r="F36" s="169"/>
      <c r="G36" s="170"/>
      <c r="H36" s="169"/>
      <c r="I36" s="169"/>
      <c r="J36" s="169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1" t="s">
        <v>76</v>
      </c>
      <c r="E37" s="172"/>
      <c r="F37" s="172"/>
      <c r="G37" s="172"/>
      <c r="H37" s="172"/>
      <c r="I37" s="172"/>
      <c r="J37" s="173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9" t="s">
        <v>11</v>
      </c>
      <c r="E38" s="169"/>
      <c r="F38" s="169"/>
      <c r="G38" s="169"/>
      <c r="H38" s="169"/>
      <c r="I38" s="169"/>
      <c r="J38" s="169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1" t="s">
        <v>21</v>
      </c>
      <c r="E39" s="172"/>
      <c r="F39" s="172"/>
      <c r="G39" s="172"/>
      <c r="H39" s="172"/>
      <c r="I39" s="172"/>
      <c r="J39" s="173"/>
      <c r="K39" s="78"/>
      <c r="L39" s="16"/>
      <c r="M39" s="2"/>
    </row>
    <row r="40" spans="1:13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177" t="s">
        <v>92</v>
      </c>
      <c r="C42" s="177"/>
      <c r="D42" s="177"/>
      <c r="E42" s="177"/>
      <c r="F42" s="177"/>
      <c r="G42" s="177"/>
      <c r="H42" s="177"/>
      <c r="I42" s="177"/>
      <c r="J42" s="177"/>
      <c r="K42" s="177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57</v>
      </c>
      <c r="C54" s="35"/>
      <c r="D54" s="35"/>
      <c r="E54" s="22"/>
      <c r="F54" s="22" t="s">
        <v>59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4</v>
      </c>
      <c r="B55" s="22" t="s">
        <v>31</v>
      </c>
      <c r="C55" s="36"/>
      <c r="D55" s="36"/>
      <c r="E55" s="22"/>
      <c r="F55" s="46" t="str">
        <f>IFERROR((VLOOKUP(A55,Table1[#All],2,0)),"")</f>
        <v>وائل مترى ناشد</v>
      </c>
      <c r="G55" s="22"/>
      <c r="H55" s="22"/>
      <c r="I55" s="22"/>
      <c r="J55" s="54" t="str">
        <f>IFERROR((VLOOKUP(A55,Table1[#All],3,0)),"")</f>
        <v>مدير مكتب التمويل متناهى الصغر بفرشوط</v>
      </c>
      <c r="K55" s="22"/>
      <c r="L55" s="13"/>
    </row>
    <row r="56" spans="1:12" ht="33.75" customHeight="1" x14ac:dyDescent="0.4">
      <c r="A56" s="12"/>
      <c r="B56" s="22" t="s">
        <v>32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82" t="s">
        <v>15</v>
      </c>
      <c r="C58" s="182"/>
      <c r="D58" s="22"/>
      <c r="E58" s="22"/>
      <c r="F58" s="22"/>
      <c r="G58" s="182" t="s">
        <v>16</v>
      </c>
      <c r="H58" s="182"/>
      <c r="I58" s="182"/>
      <c r="J58" s="182"/>
      <c r="K58" s="182"/>
      <c r="L58" s="13"/>
    </row>
    <row r="59" spans="1:12" ht="28.95" customHeight="1" x14ac:dyDescent="0.4">
      <c r="A59" s="131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3" t="s">
        <v>28</v>
      </c>
      <c r="H59" s="164"/>
      <c r="I59" s="164"/>
      <c r="J59" s="164"/>
      <c r="K59" s="164"/>
      <c r="L59" s="13"/>
    </row>
    <row r="60" spans="1:12" ht="28.95" customHeight="1" x14ac:dyDescent="0.4">
      <c r="A60" s="131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3" t="s">
        <v>28</v>
      </c>
      <c r="H60" s="164"/>
      <c r="I60" s="164"/>
      <c r="J60" s="164"/>
      <c r="K60" s="164"/>
      <c r="L60" s="13"/>
    </row>
    <row r="61" spans="1:12" ht="28.95" customHeight="1" x14ac:dyDescent="0.4">
      <c r="A61" s="131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3" t="s">
        <v>28</v>
      </c>
      <c r="H61" s="164"/>
      <c r="I61" s="164"/>
      <c r="J61" s="164"/>
      <c r="K61" s="164"/>
      <c r="L61" s="13"/>
    </row>
    <row r="62" spans="1:12" ht="28.95" customHeight="1" x14ac:dyDescent="0.4">
      <c r="A62" s="131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3" t="s">
        <v>28</v>
      </c>
      <c r="H62" s="164"/>
      <c r="I62" s="164"/>
      <c r="J62" s="164"/>
      <c r="K62" s="164"/>
      <c r="L62" s="13"/>
    </row>
    <row r="63" spans="1:12" ht="28.95" customHeight="1" x14ac:dyDescent="0.4">
      <c r="A63" s="131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3" t="s">
        <v>28</v>
      </c>
      <c r="H63" s="164"/>
      <c r="I63" s="164"/>
      <c r="J63" s="164"/>
      <c r="K63" s="164"/>
      <c r="L63" s="13"/>
    </row>
    <row r="64" spans="1:12" ht="28.95" customHeight="1" x14ac:dyDescent="0.4">
      <c r="A64" s="131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3" t="s">
        <v>28</v>
      </c>
      <c r="H64" s="164"/>
      <c r="I64" s="164"/>
      <c r="J64" s="164"/>
      <c r="K64" s="164"/>
      <c r="L64" s="13"/>
    </row>
    <row r="65" spans="1:12" ht="28.95" customHeight="1" x14ac:dyDescent="0.4">
      <c r="A65" s="131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3" t="s">
        <v>28</v>
      </c>
      <c r="H65" s="164"/>
      <c r="I65" s="164"/>
      <c r="J65" s="164"/>
      <c r="K65" s="164"/>
      <c r="L65" s="13"/>
    </row>
    <row r="66" spans="1:12" ht="28.95" customHeight="1" x14ac:dyDescent="0.4">
      <c r="A66" s="131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3" t="s">
        <v>28</v>
      </c>
      <c r="H66" s="164"/>
      <c r="I66" s="164"/>
      <c r="J66" s="164"/>
      <c r="K66" s="164"/>
      <c r="L66" s="13"/>
    </row>
    <row r="67" spans="1:12" ht="28.95" customHeight="1" x14ac:dyDescent="0.4">
      <c r="A67" s="131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3" t="s">
        <v>28</v>
      </c>
      <c r="H67" s="164"/>
      <c r="I67" s="164"/>
      <c r="J67" s="164"/>
      <c r="K67" s="164"/>
      <c r="L67" s="13"/>
    </row>
    <row r="68" spans="1:12" ht="31.95" customHeight="1" x14ac:dyDescent="0.4">
      <c r="A68" s="131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3" t="s">
        <v>28</v>
      </c>
      <c r="H68" s="164"/>
      <c r="I68" s="164"/>
      <c r="J68" s="164"/>
      <c r="K68" s="164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203"/>
      <c r="C70" s="203"/>
      <c r="D70" s="203"/>
      <c r="E70" s="203"/>
      <c r="F70" s="203"/>
      <c r="G70" s="203"/>
      <c r="H70" s="203"/>
      <c r="I70" s="203"/>
      <c r="J70" s="203"/>
      <c r="K70" s="203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3">
      <c r="A72" s="19"/>
      <c r="B72" s="193" t="s">
        <v>93</v>
      </c>
      <c r="C72" s="193"/>
      <c r="D72" s="193"/>
      <c r="E72" s="193"/>
      <c r="F72" s="193"/>
      <c r="G72" s="193"/>
      <c r="H72" s="193"/>
      <c r="I72" s="193"/>
      <c r="J72" s="193"/>
      <c r="K72" s="193"/>
      <c r="L72" s="30"/>
    </row>
  </sheetData>
  <sheetProtection selectLockedCells="1"/>
  <mergeCells count="42">
    <mergeCell ref="G65:K65"/>
    <mergeCell ref="G66:K66"/>
    <mergeCell ref="G67:K67"/>
    <mergeCell ref="G68:K68"/>
    <mergeCell ref="B70:K70"/>
    <mergeCell ref="C31:I31"/>
    <mergeCell ref="D33:J33"/>
    <mergeCell ref="D34:J34"/>
    <mergeCell ref="D36:J36"/>
    <mergeCell ref="G64:K64"/>
    <mergeCell ref="D38:J38"/>
    <mergeCell ref="D39:J39"/>
    <mergeCell ref="C40:J40"/>
    <mergeCell ref="B58:C58"/>
    <mergeCell ref="G58:K58"/>
    <mergeCell ref="G59:K59"/>
    <mergeCell ref="G60:K60"/>
    <mergeCell ref="G61:K61"/>
    <mergeCell ref="G62:K62"/>
    <mergeCell ref="G63:K63"/>
    <mergeCell ref="B42:K42"/>
    <mergeCell ref="D26:I26"/>
    <mergeCell ref="D27:I27"/>
    <mergeCell ref="D28:I28"/>
    <mergeCell ref="D29:I29"/>
    <mergeCell ref="D30:I30"/>
    <mergeCell ref="B72:K72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workbookViewId="0">
      <selection activeCell="C15" sqref="C15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29</v>
      </c>
      <c r="C2" s="49" t="s">
        <v>15</v>
      </c>
      <c r="D2" s="49" t="s">
        <v>27</v>
      </c>
    </row>
    <row r="3" spans="2:4" ht="13.8" x14ac:dyDescent="0.25">
      <c r="B3" s="137">
        <v>0</v>
      </c>
      <c r="C3" s="61" t="s">
        <v>87</v>
      </c>
      <c r="D3" s="49" t="s">
        <v>88</v>
      </c>
    </row>
    <row r="4" spans="2:4" ht="13.8" x14ac:dyDescent="0.25">
      <c r="B4" s="51">
        <v>1</v>
      </c>
      <c r="C4" s="61" t="s">
        <v>50</v>
      </c>
      <c r="D4" s="52" t="s">
        <v>69</v>
      </c>
    </row>
    <row r="5" spans="2:4" ht="13.8" x14ac:dyDescent="0.25">
      <c r="B5" s="51">
        <v>2</v>
      </c>
      <c r="C5" s="61" t="s">
        <v>46</v>
      </c>
      <c r="D5" s="52" t="s">
        <v>35</v>
      </c>
    </row>
    <row r="6" spans="2:4" ht="13.8" x14ac:dyDescent="0.25">
      <c r="B6" s="51">
        <v>3</v>
      </c>
      <c r="C6" s="61" t="s">
        <v>49</v>
      </c>
      <c r="D6" s="52" t="s">
        <v>38</v>
      </c>
    </row>
    <row r="7" spans="2:4" ht="13.8" x14ac:dyDescent="0.25">
      <c r="B7" s="51">
        <v>4</v>
      </c>
      <c r="C7" s="61" t="s">
        <v>52</v>
      </c>
      <c r="D7" s="58" t="s">
        <v>81</v>
      </c>
    </row>
    <row r="8" spans="2:4" ht="13.8" x14ac:dyDescent="0.25">
      <c r="B8" s="51">
        <v>5</v>
      </c>
      <c r="C8" s="61" t="s">
        <v>48</v>
      </c>
      <c r="D8" s="52" t="s">
        <v>37</v>
      </c>
    </row>
    <row r="9" spans="2:4" ht="13.8" x14ac:dyDescent="0.25">
      <c r="B9" s="51">
        <v>6</v>
      </c>
      <c r="C9" s="61" t="s">
        <v>51</v>
      </c>
      <c r="D9" s="52" t="s">
        <v>37</v>
      </c>
    </row>
    <row r="10" spans="2:4" ht="13.8" x14ac:dyDescent="0.25">
      <c r="B10" s="51">
        <v>7</v>
      </c>
      <c r="C10" s="61" t="s">
        <v>47</v>
      </c>
      <c r="D10" s="52" t="s">
        <v>36</v>
      </c>
    </row>
    <row r="11" spans="2:4" ht="13.8" x14ac:dyDescent="0.25">
      <c r="B11" s="51">
        <v>20</v>
      </c>
      <c r="C11" s="61" t="s">
        <v>79</v>
      </c>
      <c r="D11" s="52" t="s">
        <v>80</v>
      </c>
    </row>
    <row r="12" spans="2:4" ht="13.8" x14ac:dyDescent="0.25">
      <c r="B12" s="51">
        <v>30</v>
      </c>
      <c r="C12" s="61" t="s">
        <v>84</v>
      </c>
      <c r="D12" s="52" t="s">
        <v>85</v>
      </c>
    </row>
    <row r="13" spans="2:4" ht="13.8" x14ac:dyDescent="0.25">
      <c r="B13" s="51">
        <v>40</v>
      </c>
      <c r="C13" s="61" t="s">
        <v>82</v>
      </c>
      <c r="D13" s="52" t="s">
        <v>83</v>
      </c>
    </row>
    <row r="14" spans="2:4" x14ac:dyDescent="0.25">
      <c r="B14" s="57"/>
      <c r="C14" s="58"/>
      <c r="D14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2025-08-21T10:04:50Z</cp:lastPrinted>
  <dcterms:created xsi:type="dcterms:W3CDTF">1996-10-14T23:33:28Z</dcterms:created>
  <dcterms:modified xsi:type="dcterms:W3CDTF">2025-08-21T10:12:39Z</dcterms:modified>
</cp:coreProperties>
</file>