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محررة'!$A$1:$G$52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محررة'!$A$1:$G$52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2" i="3" l="1"/>
  <c r="G8" i="3"/>
  <c r="G9" i="3"/>
  <c r="G13" i="3"/>
  <c r="G17" i="3"/>
  <c r="G21" i="3"/>
  <c r="G25" i="3"/>
  <c r="G29" i="3"/>
  <c r="G33" i="3"/>
  <c r="G37" i="3"/>
  <c r="G41" i="3"/>
  <c r="G45" i="3"/>
  <c r="G49" i="3"/>
  <c r="G14" i="3"/>
  <c r="G22" i="3"/>
  <c r="G30" i="3"/>
  <c r="G38" i="3"/>
  <c r="G46" i="3"/>
  <c r="G11" i="3"/>
  <c r="G15" i="3"/>
  <c r="G19" i="3"/>
  <c r="G23" i="3"/>
  <c r="G27" i="3"/>
  <c r="G31" i="3"/>
  <c r="G35" i="3"/>
  <c r="G39" i="3"/>
  <c r="G43" i="3"/>
  <c r="G47" i="3"/>
  <c r="G12" i="3"/>
  <c r="G16" i="3"/>
  <c r="G20" i="3"/>
  <c r="G24" i="3"/>
  <c r="G28" i="3"/>
  <c r="G32" i="3"/>
  <c r="G36" i="3"/>
  <c r="G40" i="3"/>
  <c r="G44" i="3"/>
  <c r="G48" i="3"/>
  <c r="G10" i="3"/>
  <c r="G18" i="3"/>
  <c r="G26" i="3"/>
  <c r="G34" i="3"/>
  <c r="G42" i="3"/>
  <c r="G50" i="3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<sst xmlns="http://schemas.openxmlformats.org/spreadsheetml/2006/main" count="10595" uniqueCount="10595">
  <si>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</si>
  <si>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</si>
  <si>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</si>
  <si>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</si>
  <si>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</si>
  <si>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</si>
  <si>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</si>
  <si>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</si>
  <si>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</si>
  <si>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</si>
  <si>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</si>
  <si>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</si>
  <si>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</si>
  <si>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</si>
  <si>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</si>
  <si>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</si>
  <si>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</si>
  <si>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</si>
  <si>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</si>
  <si>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</si>
  <si>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</si>
  <si>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</si>
  <si>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</si>
  <si>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</si>
  <si>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</si>
  <si>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</si>
  <si>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</si>
  <si>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</si>
  <si>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</si>
  <si>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</si>
  <si>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</si>
  <si>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</si>
  <si>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</si>
  <si>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</si>
  <si>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</si>
  <si>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</si>
  <si>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</si>
  <si>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</si>
  <si>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</si>
  <si>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</si>
  <si>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</si>
  <si>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</si>
  <si>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</si>
  <si>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</si>
  <si>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</si>
  <si>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</si>
  <si>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</si>
  <si>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</si>
  <si>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</si>
  <si>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</si>
  <si>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</si>
  <si>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</si>
  <si>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</si>
  <si>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</si>
  <si>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</si>
  <si>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</si>
  <si>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</si>
  <si>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</si>
  <si>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</si>
  <si>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</si>
  <si>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</si>
  <si>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</si>
  <si>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</si>
  <si>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</si>
  <si>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</si>
  <si>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</si>
  <si>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</si>
  <si>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</si>
  <si>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</si>
  <si>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</si>
  <si>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</si>
  <si>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</si>
  <si>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</si>
  <si>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</si>
  <si>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</si>
  <si>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</si>
  <si>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</si>
  <si>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</si>
  <si>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</si>
  <si>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</si>
  <si>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</si>
  <si>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</si>
  <si>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</si>
  <si>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</si>
  <si>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</si>
  <si>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</si>
  <si>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</si>
  <si>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</si>
  <si>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</si>
  <si>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</si>
  <si>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</si>
  <si>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</si>
  <si>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</si>
  <si>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</si>
  <si>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</si>
  <si>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</si>
  <si>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</si>
  <si>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</si>
  <si>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</si>
  <si>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</si>
  <si>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</si>
  <si>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</si>
  <si>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</si>
  <si>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</si>
  <si>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</si>
  <si>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</si>
  <si>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</si>
  <si>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</si>
  <si>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</si>
  <si>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</si>
  <si>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</si>
  <si>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</si>
  <si>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</si>
  <si>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</si>
  <si>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</si>
  <si>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</si>
  <si>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</si>
  <si>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</si>
  <si>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</si>
  <si>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</si>
  <si>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</si>
  <si>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</si>
  <si>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</si>
  <si>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</si>
  <si>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</si>
  <si>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</si>
  <si>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</si>
  <si>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</si>
  <si>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</si>
  <si>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</si>
  <si>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</si>
  <si>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</si>
  <si>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</si>
  <si>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</si>
  <si>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</si>
  <si>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</si>
  <si>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</si>
  <si>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</si>
  <si>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</si>
  <si>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</si>
  <si>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</si>
  <si>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</si>
  <si>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</si>
  <si>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</si>
  <si>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</si>
  <si>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</si>
  <si>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</si>
  <si>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</si>
  <si>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</si>
  <si>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</si>
  <si>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</si>
  <si>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</si>
  <si>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</si>
  <si>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</si>
  <si>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</si>
  <si>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</si>
  <si>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</si>
  <si>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</si>
  <si>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</si>
  <si>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</si>
  <si>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</si>
  <si>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</si>
  <si>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</si>
  <si>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</si>
  <si>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</si>
  <si>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</si>
  <si>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</si>
  <si>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</si>
  <si>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</si>
  <si>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</si>
  <si>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</si>
  <si>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</si>
  <si>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</si>
  <si>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</si>
  <si>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</si>
  <si>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</si>
  <si>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</si>
  <si>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</si>
  <si>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</si>
  <si>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</si>
  <si>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</si>
  <si>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</si>
  <si>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</si>
  <si>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</si>
  <si>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</si>
  <si>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</si>
  <si>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</si>
  <si>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</si>
  <si>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</si>
  <si>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</si>
  <si>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</si>
  <si>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</si>
  <si>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</si>
  <si>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</si>
  <si>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</si>
  <si>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</si>
  <si>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</si>
  <si>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</si>
  <si>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</si>
  <si>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</si>
  <si>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</si>
  <si>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</si>
  <si>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</si>
  <si>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</si>
  <si>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</si>
  <si>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</si>
  <si>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</si>
  <si>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</si>
  <si>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</si>
  <si>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</si>
  <si>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</si>
  <si>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</si>
  <si>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</si>
  <si>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</si>
  <si>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</si>
  <si>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</si>
  <si>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</si>
  <si>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</si>
  <si>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</si>
  <si>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</si>
  <si>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</si>
  <si>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</si>
  <si>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</si>
  <si>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</si>
  <si>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</si>
  <si>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</si>
  <si>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</si>
  <si>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</si>
  <si>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</si>
  <si>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</si>
  <si>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</si>
  <si>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</si>
  <si>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</si>
  <si>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</si>
  <si>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</si>
  <si>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</si>
  <si>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</si>
  <si>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</si>
  <si>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</si>
  <si>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</si>
  <si>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</si>
  <si>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</si>
  <si>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</si>
  <si>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</si>
  <si>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</si>
  <si>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</si>
  <si>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</si>
  <si>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</si>
  <si>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</si>
  <si>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</si>
  <si>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</si>
  <si>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</si>
  <si>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</si>
  <si>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</si>
  <si>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</si>
  <si>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</si>
  <si>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</si>
  <si>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</si>
  <si>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</si>
  <si>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</si>
  <si>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</si>
  <si>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</si>
  <si>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</si>
  <si>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</si>
  <si>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</si>
  <si>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</si>
  <si>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</si>
  <si>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</si>
  <si>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</si>
  <si>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</si>
  <si>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</si>
  <si>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</si>
  <si>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</si>
  <si>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</si>
  <si>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</si>
  <si>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</si>
  <si>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</si>
  <si>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</si>
  <si>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</si>
  <si>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</si>
  <si>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</si>
  <si>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</si>
  <si>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</si>
  <si>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</si>
  <si>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</si>
  <si>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</si>
  <si>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</si>
  <si>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</si>
  <si>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</si>
  <si>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</si>
  <si>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</si>
  <si>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</si>
  <si>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</si>
  <si>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</si>
  <si>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</si>
  <si>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</si>
  <si>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</si>
  <si>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</si>
  <si>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</si>
  <si>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</si>
  <si>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</si>
  <si>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</si>
  <si>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</si>
  <si>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</si>
  <si>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</si>
  <si>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</si>
  <si>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</si>
  <si>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</si>
  <si>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</si>
  <si>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</si>
  <si>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</si>
  <si>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</si>
  <si>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</si>
  <si>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</si>
  <si>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</si>
  <si>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</si>
  <si>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</si>
  <si>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</si>
  <si>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</si>
  <si>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</si>
  <si>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</si>
  <si>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</si>
  <si>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</si>
  <si>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</si>
  <si>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</si>
  <si>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</si>
  <si>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</si>
  <si>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</si>
  <si>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</si>
  <si>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</si>
  <si>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</si>
  <si>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</si>
  <si>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</si>
  <si>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</si>
  <si>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</si>
  <si>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</si>
  <si>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</si>
  <si>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</si>
  <si>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</si>
  <si>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</si>
  <si>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</si>
  <si>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</si>
  <si>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</si>
  <si>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</si>
  <si>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</si>
  <si>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</si>
  <si>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</si>
  <si>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</si>
  <si>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</si>
  <si>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</si>
  <si>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</si>
  <si>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</si>
  <si>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</si>
  <si>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</si>
  <si>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</si>
  <si>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</si>
  <si>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</si>
  <si>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</si>
  <si>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</si>
  <si>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</si>
  <si>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</si>
  <si>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</si>
  <si>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</si>
  <si>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</si>
  <si>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</si>
  <si>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</si>
  <si>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</si>
  <si>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</si>
  <si>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</si>
  <si>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</si>
  <si>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</si>
  <si>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</si>
  <si>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</si>
  <si>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</si>
  <si>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</si>
  <si>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</si>
  <si>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</si>
  <si>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</si>
  <si>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</si>
  <si>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</si>
  <si>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</si>
  <si>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</si>
  <si>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</si>
  <si>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</si>
  <si>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</si>
  <si>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</si>
  <si>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</si>
  <si>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</si>
  <si>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</si>
  <si>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</si>
  <si>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</si>
  <si>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</si>
  <si>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</si>
  <si>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</si>
  <si>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</si>
  <si>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</si>
  <si>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</si>
  <si>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</si>
  <si>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</si>
  <si>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</si>
  <si>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</si>
  <si>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</si>
  <si>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</si>
  <si>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</si>
  <si>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</si>
  <si>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</si>
  <si>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</si>
  <si>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</si>
  <si>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</si>
  <si>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</si>
  <si>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</si>
  <si>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</si>
  <si>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</si>
  <si>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</si>
  <si>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</si>
  <si>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</si>
  <si>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</si>
  <si>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</si>
  <si>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</si>
  <si>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</si>
  <si>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</si>
  <si>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</si>
  <si>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</si>
  <si>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</si>
  <si>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</si>
  <si>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</si>
  <si>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</si>
  <si>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</si>
  <si>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</si>
  <si>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</si>
  <si>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</si>
  <si>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</si>
  <si>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</si>
  <si>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</si>
  <si>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</si>
  <si>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</si>
  <si>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</si>
  <si>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</si>
  <si>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</si>
  <si>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</si>
  <si>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</si>
  <si>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</si>
  <si>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</si>
  <si>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</si>
  <si>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</si>
  <si>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</si>
  <si>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</si>
  <si>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</si>
  <si>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</si>
  <si>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</si>
  <si>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</si>
  <si>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</si>
  <si>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</si>
  <si>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</si>
  <si>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</si>
  <si>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</si>
  <si>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</si>
  <si>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</si>
  <si>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</si>
  <si>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</si>
  <si>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</si>
  <si>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</si>
  <si>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</si>
  <si>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</si>
  <si>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</si>
  <si>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</si>
  <si>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</si>
  <si>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</si>
  <si>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</si>
  <si>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</si>
  <si>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</si>
  <si>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</si>
  <si>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</si>
  <si>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</si>
  <si>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</si>
  <si>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</si>
  <si>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</si>
  <si>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</si>
  <si>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</si>
  <si>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</si>
  <si>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</si>
  <si>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</si>
  <si>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</si>
  <si>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</si>
  <si>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</si>
  <si>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</si>
  <si>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</si>
  <si>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</si>
  <si>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</si>
  <si>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</si>
  <si>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</si>
  <si>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</si>
  <si>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</si>
  <si>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</si>
  <si>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</si>
  <si>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</si>
  <si>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</si>
  <si>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</si>
  <si>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</si>
  <si>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</si>
  <si>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</si>
  <si>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</si>
  <si>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</si>
  <si>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</si>
  <si>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</si>
  <si>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</si>
  <si>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</si>
  <si>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</si>
  <si>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</si>
  <si>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</si>
  <si>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</si>
  <si>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</si>
  <si>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</si>
  <si>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</si>
  <si>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</si>
  <si>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</si>
  <si>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</si>
  <si>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</si>
  <si>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</si>
  <si>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</si>
  <si>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</si>
  <si>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</si>
  <si>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</si>
  <si>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</si>
  <si>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</si>
  <si>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</si>
  <si>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</si>
  <si>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</si>
  <si>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</si>
  <si>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</si>
  <si>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</si>
  <si>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</si>
  <si>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</si>
  <si>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</si>
  <si>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</si>
  <si>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</si>
  <si>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</si>
  <si>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</si>
  <si>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</si>
  <si>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</si>
  <si>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</si>
  <si>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</si>
  <si>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</si>
  <si>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</si>
  <si>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</si>
  <si>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</si>
  <si>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</si>
  <si>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</si>
  <si>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</si>
  <si>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</si>
  <si>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</si>
  <si>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</si>
  <si>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</si>
  <si>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</si>
  <si>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</si>
  <si>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</si>
  <si>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</si>
  <si>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</si>
  <si>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</si>
  <si>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</si>
  <si>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</si>
  <si>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</si>
  <si>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</si>
  <si>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</si>
  <si>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</si>
  <si>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</si>
  <si>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</si>
  <si>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</si>
  <si>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</si>
  <si>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</si>
  <si>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</si>
  <si>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</si>
  <si>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</si>
  <si>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</si>
  <si>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</si>
  <si>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</si>
  <si>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</si>
  <si>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</si>
  <si>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</si>
  <si>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</si>
  <si>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</si>
  <si>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</si>
  <si>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</si>
  <si>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</si>
  <si>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</si>
  <si>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</si>
  <si>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</si>
  <si>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</si>
  <si>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</si>
  <si>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</si>
  <si>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</si>
  <si>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</si>
  <si>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</si>
  <si>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</si>
  <si>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</si>
  <si>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</si>
  <si>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</si>
  <si>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</si>
  <si>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</si>
  <si>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</si>
  <si>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</si>
  <si>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</si>
  <si>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</si>
  <si>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</si>
  <si>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</si>
  <si>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</si>
  <si>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</si>
  <si>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</si>
  <si>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</si>
  <si>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</si>
  <si>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</si>
  <si>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</si>
  <si>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</si>
  <si>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</si>
  <si>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</si>
  <si>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</si>
  <si>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</si>
  <si>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</si>
  <si>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</si>
  <si>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</si>
  <si>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</si>
  <si>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</si>
  <si>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</si>
  <si>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</si>
  <si>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</si>
  <si>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</si>
  <si>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</si>
  <si>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</si>
  <si>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</si>
  <si>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</si>
  <si>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</si>
  <si>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</si>
  <si>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</si>
  <si>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</si>
  <si>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</si>
  <si>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</si>
  <si>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</si>
  <si>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</si>
  <si>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</si>
  <si>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</si>
  <si>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</si>
  <si>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</si>
  <si>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</si>
  <si>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</si>
  <si>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</si>
  <si>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</si>
  <si>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</si>
  <si>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</si>
  <si>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</si>
  <si>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</si>
  <si>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</si>
  <si>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</si>
  <si>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</si>
  <si>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</si>
  <si>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</si>
  <si>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</si>
  <si>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</si>
  <si>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</si>
  <si>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</si>
  <si>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</si>
  <si>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</si>
  <si>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</si>
  <si>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</si>
  <si>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</si>
  <si>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</si>
  <si>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</si>
  <si>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</si>
  <si>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</si>
  <si>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</si>
  <si>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</si>
  <si>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</si>
  <si>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</si>
  <si>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</si>
  <si>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</si>
  <si>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</si>
  <si>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</si>
  <si>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</si>
  <si>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</si>
  <si>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</si>
  <si>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</si>
  <si>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</si>
  <si>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</si>
  <si>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</si>
  <si>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</si>
  <si>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</si>
  <si>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</si>
  <si>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</si>
  <si>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</si>
  <si>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</si>
  <si>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</si>
  <si>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</si>
  <si>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</si>
  <si>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</si>
  <si>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</si>
  <si>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</si>
  <si>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</si>
  <si>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</si>
  <si>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</si>
  <si>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</si>
  <si>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</si>
  <si>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</si>
  <si>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</si>
  <si>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</si>
  <si>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</si>
  <si>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</si>
  <si>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</si>
  <si>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</si>
  <si>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</si>
  <si>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</si>
  <si>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</si>
  <si>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</si>
  <si>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</si>
  <si>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</si>
  <si>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</si>
  <si>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</si>
  <si>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</si>
  <si>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</si>
  <si>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</si>
  <si>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</si>
  <si>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</si>
  <si>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</si>
  <si>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</si>
  <si>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</si>
  <si>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</si>
  <si>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</si>
  <si>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</si>
  <si>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</si>
  <si>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</si>
  <si>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</si>
  <si>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</si>
  <si>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</si>
  <si>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</si>
  <si>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</si>
  <si>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</si>
  <si>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</si>
  <si>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</si>
  <si>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</si>
  <si>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</si>
  <si>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</si>
  <si>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</si>
  <si>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</si>
  <si>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</si>
  <si>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</si>
  <si>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</si>
  <si>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</si>
  <si>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</si>
  <si>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</si>
  <si>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</si>
  <si>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</si>
  <si>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</si>
  <si>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</si>
  <si>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</si>
  <si>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</si>
  <si>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</si>
  <si>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</si>
  <si>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</si>
  <si>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</si>
  <si>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</si>
  <si>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</si>
  <si>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</si>
  <si>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</si>
  <si>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</si>
  <si>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</si>
  <si>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</si>
  <si>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</si>
  <si>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</si>
  <si>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</si>
  <si>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</si>
  <si>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</si>
  <si>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</si>
  <si>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</si>
  <si>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</si>
  <si>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</si>
  <si>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</si>
  <si>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</si>
  <si>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</si>
  <si>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</si>
  <si>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</si>
  <si>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</si>
  <si>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</si>
  <si>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</si>
  <si>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</si>
  <si>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</si>
  <si>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</si>
  <si>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</si>
  <si>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</si>
  <si>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</si>
  <si>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</si>
  <si>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</si>
  <si>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</si>
  <si>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</si>
  <si>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</si>
  <si>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</si>
  <si>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</si>
  <si>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</si>
  <si>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</si>
  <si>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</si>
  <si>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</si>
  <si>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</si>
  <si>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</si>
  <si>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</si>
  <si>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</si>
  <si>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</si>
  <si>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</si>
  <si>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</si>
  <si>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</si>
  <si>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</si>
  <si>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</si>
  <si>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</si>
  <si>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</si>
  <si>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</si>
  <si>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</si>
  <si>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</si>
  <si>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</si>
  <si>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</si>
  <si>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</si>
  <si>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</si>
  <si>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</si>
  <si>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</si>
  <si>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</si>
  <si>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</si>
  <si>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</si>
  <si>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</si>
  <si>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</si>
  <si>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</si>
  <si>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</si>
  <si>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</si>
  <si>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</si>
  <si>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</si>
  <si>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</si>
  <si>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</si>
  <si>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</si>
  <si>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</si>
  <si>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</si>
  <si>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</si>
  <si>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</si>
  <si>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</si>
  <si>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</si>
  <si>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</si>
  <si>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</si>
  <si>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</si>
  <si>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</si>
  <si>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</si>
  <si>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</si>
  <si>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</si>
  <si>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</si>
  <si>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</si>
  <si>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</si>
  <si>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</si>
  <si>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</si>
  <si>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</si>
  <si>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</si>
  <si>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</si>
  <si>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</si>
  <si>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</si>
  <si>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</si>
  <si>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</si>
  <si>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</si>
  <si>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</si>
  <si>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</si>
  <si>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</si>
  <si>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</si>
  <si>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</si>
  <si>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</si>
  <si>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</si>
  <si>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</si>
  <si>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</si>
  <si>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</si>
  <si>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</si>
  <si>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</si>
  <si>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</si>
  <si>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</si>
  <si>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</si>
  <si>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</si>
  <si>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</si>
  <si>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</si>
  <si>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</si>
  <si>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</si>
  <si>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</si>
  <si>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</si>
  <si>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</si>
  <si>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</si>
  <si>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</si>
  <si>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</si>
  <si>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</si>
  <si>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</si>
  <si>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</si>
  <si>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</si>
  <si>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</si>
  <si>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</si>
  <si>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</si>
  <si>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</si>
  <si>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</si>
  <si>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</si>
  <si>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</si>
  <si>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</si>
  <si>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</si>
  <si>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</si>
  <si>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</si>
  <si>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</si>
  <si>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</si>
  <si>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</si>
  <si>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</si>
  <si>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</si>
  <si>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</si>
  <si>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</si>
  <si>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</si>
  <si>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</si>
  <si>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</si>
  <si>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</si>
  <si>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</si>
  <si>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</si>
  <si>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</si>
  <si>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</si>
  <si>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</si>
  <si>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</si>
  <si>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</si>
  <si>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</si>
  <si>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</si>
  <si>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</si>
  <si>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</si>
  <si>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</si>
  <si>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</si>
  <si>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</si>
  <si>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</si>
  <si>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</si>
  <si>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</si>
  <si>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</si>
  <si>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</si>
  <si>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</si>
  <si>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</si>
  <si>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</si>
  <si>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</si>
  <si>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</si>
  <si>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</si>
  <si>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</si>
  <si>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</si>
  <si>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</si>
  <si>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</si>
  <si>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</si>
  <si>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</si>
  <si>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</si>
  <si>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</si>
  <si>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</si>
  <si>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</si>
  <si>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</si>
  <si>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</si>
  <si>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</si>
  <si>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</si>
  <si>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</si>
  <si>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</si>
  <si>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</si>
  <si>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</si>
  <si>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</si>
  <si>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</si>
  <si>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</si>
  <si>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</si>
  <si>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</si>
  <si>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</si>
  <si>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</si>
  <si>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</si>
  <si>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</si>
  <si>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</si>
  <si>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</si>
  <si>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</si>
  <si>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</si>
  <si>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</si>
  <si>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</si>
  <si>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</si>
  <si>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</si>
  <si>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</si>
  <si>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</si>
  <si>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</si>
  <si>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</si>
  <si>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</si>
  <si>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</si>
  <si>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</si>
  <si>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</si>
  <si>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</si>
  <si>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</si>
  <si>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</si>
  <si>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</si>
  <si>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</si>
  <si>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</si>
  <si>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</si>
  <si>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</si>
  <si>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</si>
  <si>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</si>
  <si>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</si>
  <si>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</si>
  <si>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</si>
  <si>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</si>
  <si>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</si>
  <si>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</si>
  <si>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</si>
  <si>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</si>
  <si>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</si>
  <si>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</si>
  <si>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</si>
  <si>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</si>
  <si>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</si>
  <si>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</si>
  <si>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</si>
  <si>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</si>
  <si>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</si>
  <si>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</si>
  <si>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</si>
  <si>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</si>
  <si>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</si>
  <si>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</si>
  <si>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</si>
  <si>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</si>
  <si>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</si>
  <si>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</si>
  <si>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</si>
  <si>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</si>
  <si>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</si>
  <si>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</si>
  <si>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</si>
  <si>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</si>
  <si>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</si>
  <si>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</si>
  <si>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</si>
  <si>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</si>
  <si>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</si>
  <si>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</si>
  <si>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</si>
  <si>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</si>
  <si>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</si>
  <si>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</si>
  <si>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</si>
  <si>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</si>
  <si>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</si>
  <si>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</si>
  <si>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</si>
  <si>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</si>
  <si>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</si>
  <si>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</si>
  <si>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</si>
  <si>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</si>
  <si>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</si>
  <si>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</si>
  <si>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</si>
  <si>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</si>
  <si>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</si>
  <si>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</si>
  <si>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</si>
  <si>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</si>
  <si>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</si>
  <si>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</si>
  <si>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</si>
  <si>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</si>
  <si>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</si>
  <si>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</si>
  <si>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</si>
  <si>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</si>
  <si>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</si>
  <si>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</si>
  <si>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</si>
  <si>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</si>
  <si>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</si>
  <si>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</si>
  <si>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</si>
  <si>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</si>
  <si>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</si>
  <si>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</si>
  <si>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</si>
  <si>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</si>
  <si>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</si>
  <si>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</si>
  <si>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</si>
  <si>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</si>
  <si>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</si>
  <si>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</si>
  <si>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</si>
  <si>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</si>
  <si>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</si>
  <si>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</si>
  <si>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</si>
  <si>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</si>
  <si>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</si>
  <si>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</si>
  <si>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</si>
  <si>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</si>
  <si>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</si>
  <si>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</si>
  <si>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</si>
  <si>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</si>
  <si>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</si>
  <si>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</si>
  <si>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</si>
  <si>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</si>
  <si>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</si>
  <si>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</si>
  <si>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</si>
  <si>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</si>
  <si>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</si>
  <si>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</si>
  <si>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</si>
  <si>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</si>
  <si>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</si>
  <si>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</si>
  <si>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</si>
  <si>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</si>
  <si>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</si>
  <si>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</si>
  <si>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</si>
  <si>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</si>
  <si>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</si>
  <si>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</si>
  <si>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</si>
  <si>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</si>
  <si>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</si>
  <si>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</si>
  <si>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</si>
  <si>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</si>
  <si>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</si>
  <si>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</si>
  <si>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</si>
  <si>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</si>
  <si>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</si>
  <si>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</si>
  <si>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</si>
  <si>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</si>
  <si>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</si>
  <si>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</si>
  <si>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</si>
  <si>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</si>
  <si>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</si>
  <si>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</si>
  <si>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</si>
  <si>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</si>
  <si>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</si>
  <si>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</si>
  <si>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</si>
  <si>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</si>
  <si>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</si>
  <si>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</si>
  <si>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</si>
  <si>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</si>
  <si>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</si>
  <si>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</si>
  <si>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</si>
  <si>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</si>
  <si>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</si>
  <si>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</si>
  <si>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</si>
  <si>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</si>
  <si>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</si>
  <si>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</si>
  <si>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</si>
  <si>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</si>
  <si>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</si>
  <si>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</si>
  <si>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</si>
  <si>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</si>
  <si>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</si>
  <si>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</si>
  <si>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</si>
  <si>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</si>
  <si>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</si>
  <si>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</si>
  <si>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</si>
  <si>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</si>
  <si>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</si>
  <si>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</si>
  <si>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</si>
  <si>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</si>
  <si>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</si>
  <si>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</si>
  <si>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</si>
  <si>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</si>
  <si>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</si>
  <si>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</si>
  <si>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</si>
  <si>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</si>
  <si>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</si>
  <si>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</si>
  <si>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</si>
  <si>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</si>
  <si>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</si>
  <si>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</si>
  <si>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</si>
  <si>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</si>
  <si>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</si>
  <si>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</si>
  <si>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</si>
  <si>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</si>
  <si>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</si>
  <si>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</si>
  <si>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</si>
  <si>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</si>
  <si>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</si>
  <si>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</si>
  <si>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</si>
  <si>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</si>
  <si>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</si>
  <si>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</si>
  <si>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</si>
  <si>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</si>
  <si>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</si>
  <si>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</si>
  <si>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</si>
  <si>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</si>
  <si>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</si>
  <si>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</si>
  <si>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</si>
  <si>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</si>
  <si>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</si>
  <si>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</si>
  <si>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</si>
  <si>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</si>
  <si>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</si>
  <si>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</si>
  <si>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</si>
  <si>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</si>
  <si>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</si>
  <si>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</si>
  <si>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</si>
  <si>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</si>
  <si>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</si>
  <si>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</si>
  <si>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</si>
  <si>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</si>
  <si>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</si>
  <si>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</si>
  <si>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</si>
  <si>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</si>
  <si>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</si>
  <si>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</si>
  <si>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</si>
  <si>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</si>
  <si>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</si>
  <si>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</si>
  <si>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</si>
  <si>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</si>
  <si>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</si>
  <si>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</si>
  <si>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</si>
  <si>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</si>
  <si>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</si>
  <si>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</si>
  <si>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</si>
  <si>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</si>
  <si>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</si>
  <si>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</si>
  <si>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</si>
  <si>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</si>
  <si>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</si>
  <si>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</si>
  <si>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</si>
  <si>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</si>
  <si>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</si>
  <si>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</si>
  <si>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</si>
  <si>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</si>
  <si>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</si>
  <si>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</si>
  <si>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</si>
  <si>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</si>
  <si>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</si>
  <si>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</si>
  <si>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</si>
  <si>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</si>
  <si>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</si>
  <si>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</si>
  <si>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</si>
  <si>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</si>
  <si>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</si>
  <si>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</si>
  <si>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</si>
  <si>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</si>
  <si>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</si>
  <si>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</si>
  <si>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</si>
  <si>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</si>
  <si>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</si>
  <si>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</si>
  <si>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</si>
  <si>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</si>
  <si>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</si>
  <si>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</si>
  <si>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</si>
  <si>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</si>
  <si>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</si>
  <si>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</si>
  <si>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</si>
  <si>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</si>
  <si>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</si>
  <si>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</si>
  <si>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</si>
  <si>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</si>
  <si>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</si>
  <si>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</si>
  <si>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</si>
  <si>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</si>
  <si>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</si>
  <si>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</si>
  <si>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</si>
  <si>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</si>
  <si>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</si>
  <si>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</si>
  <si>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</si>
  <si>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</si>
  <si>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</si>
  <si>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</si>
  <si>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</si>
  <si>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</si>
  <si>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</si>
  <si>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</si>
  <si>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</si>
  <si>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</si>
  <si>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</si>
  <si>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</si>
  <si>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</si>
  <si>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</si>
  <si>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</si>
  <si>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</si>
  <si>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</si>
  <si>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</si>
  <si>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</si>
  <si>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</si>
  <si>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</si>
  <si>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</si>
  <si>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</si>
  <si>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</si>
  <si>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</si>
  <si>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</si>
  <si>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</si>
  <si>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</si>
  <si>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</si>
  <si>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</si>
  <si>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</si>
  <si>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</si>
  <si>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</si>
  <si>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</si>
  <si>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</si>
  <si>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</si>
  <si>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</si>
  <si>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</si>
  <si>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</si>
  <si>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</si>
  <si>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</si>
  <si>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</si>
  <si>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</si>
  <si>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</si>
  <si>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</si>
  <si>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</si>
  <si>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</si>
  <si>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</si>
  <si>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</si>
  <si>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</si>
  <si>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</si>
  <si>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</si>
  <si>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</si>
  <si>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</si>
  <si>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</si>
  <si>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</si>
  <si>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</si>
  <si>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</si>
  <si>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</si>
  <si>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</si>
  <si>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</si>
  <si>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</si>
  <si>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</si>
  <si>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</si>
  <si>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</si>
  <si>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</si>
  <si>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</si>
  <si>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</si>
  <si>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</si>
  <si>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</si>
  <si>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</si>
  <si>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</si>
  <si>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</si>
  <si>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</si>
  <si>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</si>
  <si>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</si>
  <si>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</si>
  <si>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</si>
  <si>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</si>
  <si>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</si>
  <si>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</si>
  <si>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</si>
  <si>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</si>
  <si>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</si>
  <si>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</si>
  <si>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</si>
  <si>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</si>
  <si>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</si>
  <si>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</si>
  <si>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</si>
  <si>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</si>
  <si>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</si>
  <si>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</si>
  <si>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</si>
  <si>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</si>
  <si>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</si>
  <si>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</si>
  <si>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</si>
  <si>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</si>
  <si>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</si>
  <si>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</si>
  <si>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</si>
  <si>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</si>
  <si>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</si>
  <si>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</si>
  <si>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</si>
  <si>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</si>
  <si>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</si>
  <si>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</si>
  <si>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</si>
  <si>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</si>
  <si>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</si>
  <si>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</si>
  <si>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</si>
  <si>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</si>
  <si>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</si>
  <si>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</si>
  <si>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</si>
  <si>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</si>
  <si>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</si>
  <si>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</si>
  <si>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</si>
  <si>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</si>
  <si>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</si>
  <si>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</si>
  <si>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</si>
  <si>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</si>
  <si>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</si>
  <si>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</si>
  <si>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</si>
  <si>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</si>
  <si>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</si>
  <si>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</si>
  <si>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</si>
  <si>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</si>
  <si>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</si>
  <si>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</si>
  <si>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</si>
  <si>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</si>
  <si>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</si>
  <si>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</si>
  <si>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</si>
  <si>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</si>
  <si>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</si>
  <si>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</si>
  <si>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</si>
  <si>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</si>
  <si>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</si>
  <si>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</si>
  <si>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</si>
  <si>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</si>
  <si>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</si>
  <si>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</si>
  <si>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</si>
  <si>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</si>
  <si>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</si>
  <si>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</si>
  <si>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</si>
  <si>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</si>
  <si>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</si>
  <si>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</si>
  <si>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</si>
  <si>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</si>
  <si>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</si>
  <si>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</si>
  <si>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</si>
  <si>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</si>
  <si>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</si>
  <si>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</si>
  <si>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</si>
  <si>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</si>
  <si>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</si>
  <si>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</si>
  <si>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</si>
  <si>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</si>
  <si>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</si>
  <si>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</si>
  <si>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</si>
  <si>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</si>
  <si>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</si>
  <si>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</si>
  <si>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</si>
  <si>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</si>
  <si>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</si>
  <si>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</si>
  <si>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</si>
  <si>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</si>
  <si>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</si>
  <si>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</si>
  <si>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</si>
  <si>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</si>
  <si>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</si>
  <si>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</si>
  <si>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</si>
  <si>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</si>
  <si>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</si>
  <si>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</si>
  <si>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</si>
  <si>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</si>
  <si>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</si>
  <si>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</si>
  <si>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</si>
  <si>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</si>
  <si>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</si>
  <si>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</si>
  <si>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</si>
  <si>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</si>
  <si>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</si>
  <si>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</si>
  <si>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</si>
  <si>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</si>
  <si>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</si>
  <si>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</si>
  <si>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</si>
  <si>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</si>
  <si>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</si>
  <si>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</si>
  <si>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</si>
  <si>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</si>
  <si>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</si>
  <si>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</si>
  <si>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</si>
  <si>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</si>
  <si>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</si>
  <si>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</si>
  <si>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</si>
  <si>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</si>
  <si>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</si>
  <si>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</si>
  <si>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</si>
  <si>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</si>
  <si>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</si>
  <si>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</si>
  <si>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</si>
  <si>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</si>
  <si>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</si>
  <si>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</si>
  <si>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</si>
  <si>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</si>
  <si>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</si>
  <si>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</si>
  <si>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</si>
  <si>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</si>
  <si>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</si>
  <si>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</si>
  <si>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</si>
  <si>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</si>
  <si>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</si>
  <si>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</si>
  <si>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</si>
  <si>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</si>
  <si>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</si>
  <si>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</si>
  <si>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</si>
  <si>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</si>
  <si>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</si>
  <si>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</si>
  <si>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</si>
  <si>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</si>
  <si>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</si>
  <si>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</si>
  <si>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</si>
  <si>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</si>
  <si>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</si>
  <si>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</si>
  <si>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</si>
  <si>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</si>
  <si>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</si>
  <si>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</si>
  <si>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</si>
  <si>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</si>
  <si>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</si>
  <si>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</si>
  <si>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</si>
  <si>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</si>
  <si>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</si>
  <si>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</si>
  <si>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</si>
  <si>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</si>
  <si>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</si>
  <si>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</si>
  <si>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</si>
  <si>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</si>
  <si>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</si>
  <si>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</si>
  <si>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</si>
  <si>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</si>
  <si>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</si>
  <si>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</si>
  <si>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</si>
  <si>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</si>
  <si>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</si>
  <si>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</si>
  <si>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</si>
  <si>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</si>
  <si>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</si>
  <si>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</si>
  <si>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</si>
  <si>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</si>
  <si>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</si>
  <si>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</si>
  <si>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</si>
  <si>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</si>
  <si>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</si>
  <si>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</si>
  <si>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</si>
  <si>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</si>
  <si>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</si>
  <si>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</si>
  <si>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</si>
  <si>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</si>
  <si>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</si>
  <si>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</si>
  <si>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</si>
  <si>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</si>
  <si>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</si>
  <si>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</si>
  <si>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</si>
  <si>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</si>
  <si>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</si>
  <si>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</si>
  <si>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</si>
  <si>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</si>
  <si>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</si>
  <si>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</si>
  <si>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</si>
  <si>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</si>
  <si>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</si>
  <si>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</si>
  <si>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</si>
  <si>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</si>
  <si>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</si>
  <si>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</si>
  <si>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</si>
  <si>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</si>
  <si>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</si>
  <si>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</si>
  <si>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</si>
  <si>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</si>
  <si>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</si>
  <si>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</si>
  <si>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</si>
  <si>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</si>
  <si>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</si>
  <si>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</si>
  <si>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</si>
  <si>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</si>
  <si>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</si>
  <si>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</si>
  <si>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</si>
  <si>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</si>
  <si>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</si>
  <si>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</si>
  <si>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</si>
  <si>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</si>
  <si>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</si>
  <si>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</si>
  <si>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</si>
  <si>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</si>
  <si>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</si>
  <si>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</si>
  <si>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</si>
  <si>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</si>
  <si>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</si>
  <si>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</si>
  <si>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</si>
  <si>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</si>
  <si>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</si>
  <si>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</si>
  <si>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</si>
  <si>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</si>
  <si>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</si>
  <si>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</si>
  <si>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</si>
  <si>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</si>
  <si>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</si>
  <si>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</si>
  <si>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</si>
  <si>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</si>
  <si>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</si>
  <si>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</si>
  <si>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</si>
  <si>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</si>
  <si>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</si>
  <si>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</si>
  <si>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</si>
  <si>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</si>
  <si>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</si>
  <si>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</si>
  <si>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</si>
  <si>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</si>
  <si>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</si>
  <si>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</si>
  <si>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</si>
  <si>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</si>
  <si>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</si>
  <si>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</si>
  <si>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</si>
  <si>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</si>
  <si>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</si>
  <si>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</si>
  <si>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</si>
  <si>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</si>
  <si>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</si>
  <si>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</si>
  <si>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</si>
  <si>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</si>
  <si>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</si>
  <si>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</si>
  <si>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</si>
  <si>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</si>
  <si>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</si>
  <si>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</si>
  <si>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</si>
  <si>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</si>
  <si>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</si>
  <si>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</si>
  <si>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</si>
  <si>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</si>
  <si>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</si>
  <si>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</si>
  <si>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</si>
  <si>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</si>
  <si>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</si>
  <si>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</si>
  <si>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</si>
  <si>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</si>
  <si>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</si>
  <si>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</si>
  <si>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</si>
  <si>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</si>
  <si>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</si>
  <si>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</si>
  <si>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</si>
  <si>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</si>
  <si>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</si>
  <si>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</si>
  <si>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</si>
  <si>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</si>
  <si>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</si>
  <si>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</si>
  <si>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</si>
  <si>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</si>
  <si>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</si>
  <si>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</si>
  <si>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</si>
  <si>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</si>
  <si>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</si>
  <si>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</si>
  <si>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</si>
  <si>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</si>
  <si>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</si>
  <si>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</si>
  <si>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</si>
  <si>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</si>
  <si>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</si>
  <si>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</si>
  <si>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</si>
  <si>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</si>
  <si>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</si>
  <si>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</si>
  <si>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</si>
  <si>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</si>
  <si>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</si>
  <si>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</si>
  <si>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</si>
  <si>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</si>
  <si>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</si>
  <si>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</si>
  <si>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</si>
  <si>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</si>
  <si>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</si>
  <si>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</si>
  <si>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</si>
  <si>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</si>
  <si>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</si>
  <si>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</si>
  <si>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</si>
  <si>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</si>
  <si>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</si>
  <si>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</si>
  <si>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</si>
  <si>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</si>
  <si>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</si>
  <si>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</si>
  <si>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</si>
  <si>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</si>
  <si>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</si>
  <si>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</si>
  <si>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</si>
  <si>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</si>
  <si>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</si>
  <si>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</si>
  <si>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</si>
  <si>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</si>
  <si>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</si>
  <si>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</si>
  <si>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</si>
  <si>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</si>
  <si>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</si>
  <si>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</si>
  <si>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</si>
  <si>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</si>
  <si>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</si>
  <si>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</si>
  <si>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</si>
  <si>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</si>
  <si>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</si>
  <si>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</si>
  <si>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</si>
  <si>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</si>
  <si>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</si>
  <si>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</si>
  <si>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</si>
  <si>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</si>
  <si>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</si>
  <si>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</si>
  <si>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</si>
  <si>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</si>
  <si>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</si>
  <si>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</si>
  <si>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</si>
  <si>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</si>
  <si>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</si>
  <si>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</si>
  <si>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</si>
  <si>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</si>
  <si>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</si>
  <si>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</si>
  <si>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</si>
  <si>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</si>
  <si>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</si>
  <si>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</si>
  <si>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</si>
  <si>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</si>
  <si>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</si>
  <si>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</si>
  <si>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</si>
  <si>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</si>
  <si>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</si>
  <si>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</si>
  <si>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</si>
  <si>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</si>
  <si>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</si>
  <si>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</si>
  <si>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</si>
  <si>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</si>
  <si>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</si>
  <si>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</si>
  <si>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</si>
  <si>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</si>
  <si>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</si>
  <si>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</si>
  <si>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</si>
  <si>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</si>
  <si>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</si>
  <si>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</si>
  <si>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</si>
  <si>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</si>
  <si>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</si>
  <si>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</si>
  <si>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</si>
  <si>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</si>
  <si>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</si>
  <si>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</si>
  <si>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</si>
  <si>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</si>
  <si>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</si>
  <si>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</si>
  <si>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</si>
  <si>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</si>
  <si>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</si>
  <si>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</si>
  <si>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</si>
  <si>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</si>
  <si>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</si>
  <si>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</si>
  <si>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</si>
  <si>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</si>
  <si>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</si>
  <si>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</si>
  <si>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</si>
  <si>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</si>
  <si>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</si>
  <si>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</si>
  <si>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</si>
  <si>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</si>
  <si>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</si>
  <si>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</si>
  <si>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</si>
  <si>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</si>
  <si>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</si>
  <si>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</si>
  <si>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</si>
  <si>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</si>
  <si>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</si>
  <si>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</si>
  <si>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</si>
  <si>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</si>
  <si>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</si>
  <si>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</si>
  <si>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</si>
  <si>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</si>
  <si>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</si>
  <si>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</si>
  <si>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</si>
  <si>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</si>
  <si>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</si>
  <si>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</si>
  <si>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</si>
  <si>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</si>
  <si>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</si>
  <si>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</si>
  <si>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</si>
  <si>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</si>
  <si>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</si>
  <si>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</si>
  <si>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</si>
  <si>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</si>
  <si>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</si>
  <si>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</si>
  <si>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</si>
  <si>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</si>
  <si>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</si>
  <si>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</si>
  <si>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</si>
  <si>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</si>
  <si>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</si>
  <si>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</si>
  <si>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</si>
  <si>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</si>
  <si>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</si>
  <si>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</si>
  <si>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</si>
  <si>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</si>
  <si>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</si>
  <si>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</si>
  <si>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</si>
  <si>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</si>
  <si>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</si>
  <si>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</si>
  <si>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</si>
  <si>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</si>
  <si>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</si>
  <si>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</si>
  <si>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</si>
  <si>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</si>
  <si>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</si>
  <si>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</si>
  <si>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</si>
  <si>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</si>
  <si>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</si>
  <si>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</si>
  <si>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</si>
  <si>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</si>
  <si>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</si>
  <si>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</si>
  <si>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</si>
  <si>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</si>
  <si>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</si>
  <si>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</si>
  <si>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</si>
  <si>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</si>
  <si>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</si>
  <si>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</si>
  <si>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</si>
  <si>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</si>
  <si>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</si>
  <si>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</si>
  <si>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</si>
  <si>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</si>
  <si>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</si>
  <si>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</si>
  <si>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</si>
  <si>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</si>
  <si>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</si>
  <si>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</si>
  <si>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</si>
  <si>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</si>
  <si>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</si>
  <si>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</si>
  <si>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</si>
  <si>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</si>
  <si>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</si>
  <si>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</si>
  <si>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</si>
  <si>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</si>
  <si>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</si>
  <si>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</si>
  <si>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</si>
  <si>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</si>
  <si>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</si>
  <si>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</si>
  <si>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</si>
  <si>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</si>
  <si>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</si>
  <si>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</si>
  <si>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</si>
  <si>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</si>
  <si>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</si>
  <si>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</si>
  <si>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</si>
  <si>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</si>
  <si>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</si>
  <si>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</si>
  <si>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</si>
  <si>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</si>
  <si>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</si>
  <si>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</si>
  <si>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</si>
  <si>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</si>
  <si>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</si>
  <si>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</si>
  <si>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</si>
  <si>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</si>
  <si>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</si>
  <si>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</si>
  <si>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</si>
  <si>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</si>
  <si>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</si>
  <si>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</si>
  <si>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</si>
  <si>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</si>
  <si>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</si>
  <si>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</si>
  <si>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</si>
  <si>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</si>
  <si>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</si>
  <si>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</si>
  <si>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</si>
  <si>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</si>
  <si>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</si>
  <si>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</si>
  <si>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</si>
  <si>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</si>
  <si>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</si>
  <si>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</si>
  <si>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</si>
  <si>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</si>
  <si>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</si>
  <si>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</si>
  <si>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</si>
  <si>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</si>
  <si>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</si>
  <si>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</si>
  <si>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</si>
  <si>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</si>
  <si>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</si>
  <si>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</si>
  <si>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</si>
  <si>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</si>
  <si>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</si>
  <si>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</si>
  <si>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</si>
  <si>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</si>
  <si>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</si>
  <si>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</si>
  <si>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</si>
  <si>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</si>
  <si>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</si>
  <si>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</si>
  <si>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</si>
  <si>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</si>
  <si>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</si>
  <si>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</si>
  <si>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</si>
  <si>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</si>
  <si>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</si>
  <si>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</si>
  <si>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</si>
  <si>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</si>
  <si>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</si>
  <si>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</si>
  <si>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</si>
  <si>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</si>
  <si>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</si>
  <si>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</si>
  <si>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</si>
  <si>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</si>
  <si>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</si>
  <si>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</si>
  <si>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</si>
  <si>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</si>
  <si>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</si>
  <si>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</si>
  <si>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</si>
  <si>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</si>
  <si>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</si>
  <si>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</si>
  <si>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</si>
  <si>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</si>
  <si>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</si>
  <si>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</si>
  <si>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</si>
  <si>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</si>
  <si>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</si>
  <si>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</si>
  <si>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</si>
  <si>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</si>
  <si>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</si>
  <si>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</si>
  <si>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</si>
  <si>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</si>
  <si>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</si>
  <si>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</si>
  <si>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</si>
  <si>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</si>
  <si>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</si>
  <si>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</si>
  <si>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</si>
  <si>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</si>
  <si>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</si>
  <si>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</si>
  <si>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</si>
  <si>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</si>
  <si>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</si>
  <si>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</si>
  <si>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</si>
  <si>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</si>
  <si>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</si>
  <si>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</si>
  <si>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</si>
  <si>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</si>
  <si>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</si>
  <si>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</si>
  <si>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</si>
  <si>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</si>
  <si>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</si>
  <si>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</si>
  <si>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</si>
  <si>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</si>
  <si>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</si>
  <si>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</si>
  <si>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</si>
  <si>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</si>
  <si>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</si>
  <si>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</si>
  <si>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</si>
  <si>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</si>
  <si>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</si>
  <si>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</si>
  <si>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</si>
  <si>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</si>
  <si>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</si>
  <si>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</si>
  <si>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</si>
  <si>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</si>
  <si>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</si>
  <si>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</si>
  <si>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</si>
  <si>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</si>
  <si>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</si>
  <si>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</si>
  <si>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</si>
  <si>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</si>
  <si>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</si>
  <si>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</si>
  <si>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</si>
  <si>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</si>
  <si>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</si>
  <si>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</si>
  <si>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</si>
  <si>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</si>
  <si>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</si>
  <si>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</si>
  <si>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</si>
  <si>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</si>
  <si>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</si>
  <si>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</si>
  <si>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</si>
  <si>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</si>
  <si>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</si>
  <si>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</si>
  <si>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</si>
  <si>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</si>
  <si>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</si>
  <si>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</si>
  <si>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</si>
  <si>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</si>
  <si>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</si>
  <si>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</si>
  <si>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</si>
  <si>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</si>
  <si>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</si>
  <si>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</si>
  <si>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</si>
  <si>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</si>
  <si>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</si>
  <si>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</si>
  <si>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</si>
  <si>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</si>
  <si>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</si>
  <si>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</si>
  <si>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</si>
  <si>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</si>
  <si>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</si>
  <si>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</si>
  <si>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</si>
  <si>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</si>
  <si>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</si>
  <si>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</si>
  <si>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</si>
  <si>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</si>
  <si>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</si>
  <si>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</si>
  <si>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</si>
  <si>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</si>
  <si>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</si>
  <si>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</si>
  <si>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</si>
  <si>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</si>
  <si>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</si>
  <si>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</si>
  <si>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</si>
  <si>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</si>
  <si>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</si>
  <si>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</si>
  <si>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</si>
  <si>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</si>
  <si>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</si>
  <si>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</si>
  <si>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</si>
  <si>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</si>
  <si>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</si>
  <si>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</si>
  <si>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</si>
  <si>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</si>
  <si>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</si>
  <si>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</si>
  <si>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</si>
  <si>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</si>
  <si>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</si>
  <si>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</si>
  <si>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</si>
  <si>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</si>
  <si>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</si>
  <si>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</si>
  <si>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</si>
  <si>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</si>
  <si>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</si>
  <si>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</si>
  <si>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</si>
  <si>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</si>
  <si>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</si>
  <si>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</si>
  <si>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</si>
  <si>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</si>
  <si>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</si>
  <si>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</si>
  <si>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</si>
  <si>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</si>
  <si>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</si>
  <si>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</si>
  <si>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</si>
  <si>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</si>
  <si>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</si>
  <si>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</si>
  <si>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</si>
  <si>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</si>
  <si>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</si>
  <si>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</si>
  <si>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</si>
  <si>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</si>
  <si>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</si>
  <si>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</si>
  <si>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</si>
  <si>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</si>
  <si>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</si>
  <si>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</si>
  <si>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</si>
  <si>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</si>
  <si>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</si>
  <si>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</si>
  <si>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</si>
  <si>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</si>
  <si>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</si>
  <si>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</si>
  <si>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</si>
  <si>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</si>
  <si>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</si>
  <si>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</si>
  <si>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</si>
  <si>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</si>
  <si>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</si>
  <si>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</si>
  <si>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</si>
  <si>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</si>
  <si>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</si>
  <si>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</si>
  <si>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</si>
  <si>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</si>
  <si>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</si>
  <si>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</si>
  <si>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</si>
  <si>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</si>
  <si>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</si>
  <si>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</si>
  <si>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</si>
  <si>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</si>
  <si>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</si>
  <si>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</si>
  <si>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</si>
  <si>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</si>
  <si>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</si>
  <si>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</si>
  <si>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</si>
  <si>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</si>
  <si>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</si>
  <si>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</si>
  <si>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</si>
  <si>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</si>
  <si>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</si>
  <si>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</si>
  <si>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</si>
  <si>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</si>
  <si>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</si>
  <si>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</si>
  <si>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</si>
  <si>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</si>
  <si>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</si>
  <si>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</si>
  <si>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</si>
  <si>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</si>
  <si>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</si>
  <si>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</si>
  <si>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</si>
  <si>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</si>
  <si>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</si>
  <si>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</si>
  <si>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</si>
  <si>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</si>
  <si>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</si>
  <si>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</si>
  <si>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</si>
  <si>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</si>
  <si>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</si>
  <si>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</si>
  <si>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</si>
  <si>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</si>
  <si>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</si>
  <si>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</si>
  <si>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</si>
  <si>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</si>
  <si>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</si>
  <si>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</si>
  <si>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</si>
  <si>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</si>
  <si>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</si>
  <si>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</si>
  <si>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</si>
  <si>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</si>
  <si>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</si>
  <si>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</si>
  <si>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</si>
  <si>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</si>
  <si>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</si>
  <si>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</si>
  <si>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</si>
  <si>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</si>
  <si>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</si>
  <si>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</si>
  <si>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</si>
  <si>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</si>
  <si>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</si>
  <si>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</si>
  <si>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</si>
  <si>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</si>
  <si>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</si>
  <si>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</si>
  <si>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</si>
  <si>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</si>
  <si>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</si>
  <si>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</si>
  <si>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</si>
  <si>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</si>
  <si>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</si>
  <si>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</si>
  <si>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</si>
  <si>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</si>
  <si>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</si>
  <si>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</si>
  <si>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</si>
  <si>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</si>
  <si>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</si>
  <si>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</si>
  <si>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</si>
  <si>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</si>
  <si>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</si>
  <si>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</si>
  <si>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</si>
  <si>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</si>
  <si>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</si>
  <si>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</si>
  <si>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</si>
  <si>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</si>
  <si>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</si>
  <si>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</si>
  <si>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</si>
  <si>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</si>
  <si>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</si>
  <si>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</si>
  <si>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</si>
  <si>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</si>
  <si>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</si>
  <si>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</si>
  <si>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</si>
  <si>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</si>
  <si>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</si>
  <si>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</si>
  <si>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</si>
  <si>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</si>
  <si>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</si>
  <si>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</si>
  <si>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</si>
  <si>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</si>
  <si>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</si>
  <si>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</si>
  <si>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</si>
  <si>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</si>
  <si>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</si>
  <si>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</si>
  <si>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</si>
  <si>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</si>
  <si>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</si>
  <si>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</si>
  <si>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</si>
  <si>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</si>
  <si>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</si>
  <si>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</si>
  <si>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</si>
  <si>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</si>
  <si>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</si>
  <si>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</si>
  <si>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</si>
  <si>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</si>
  <si>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</si>
  <si>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</si>
  <si>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</si>
  <si>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</si>
  <si>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</si>
  <si>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</si>
  <si>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</si>
  <si>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</si>
  <si>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</si>
  <si>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</si>
  <si>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</si>
  <si>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</si>
  <si>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</si>
  <si>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</si>
  <si>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</si>
  <si>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</si>
  <si>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</si>
  <si>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</si>
  <si>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</si>
  <si>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</si>
  <si>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</si>
  <si>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</si>
  <si>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</si>
  <si>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</si>
  <si>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</si>
  <si>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</si>
  <si>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</si>
  <si>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</si>
  <si>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</si>
  <si>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</si>
  <si>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</si>
  <si>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</si>
  <si>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</si>
  <si>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</si>
  <si>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</si>
  <si>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</si>
  <si>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</si>
  <si>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</si>
  <si>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</si>
  <si>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</si>
  <si>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</si>
  <si>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</si>
  <si>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</si>
  <si>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</si>
  <si>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</si>
  <si>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</si>
  <si>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</si>
  <si>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</si>
  <si>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</si>
  <si>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</si>
  <si>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</si>
  <si>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</si>
  <si>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</si>
  <si>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</si>
  <si>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</si>
  <si>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</si>
  <si>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</si>
  <si>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</si>
  <si>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</si>
  <si>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</si>
  <si>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</si>
  <si>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</si>
  <si>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</si>
  <si>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</si>
  <si>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</si>
  <si>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</si>
  <si>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</si>
  <si>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</si>
  <si>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</si>
  <si>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</si>
  <si>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</si>
  <si>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</si>
  <si>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</si>
  <si>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</si>
  <si>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</si>
  <si>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</si>
  <si>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</si>
  <si>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</si>
  <si>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</si>
  <si>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</si>
  <si>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</si>
  <si>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</si>
  <si>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</si>
  <si>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</si>
  <si>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</si>
  <si>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</si>
  <si>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</si>
  <si>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</si>
  <si>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</si>
  <si>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</si>
  <si>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</si>
  <si>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</si>
  <si>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</si>
  <si>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</si>
  <si>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</si>
  <si>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</si>
  <si>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</si>
  <si>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</si>
  <si>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</si>
  <si>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</si>
  <si>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</si>
  <si>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</si>
  <si>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</si>
  <si>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</si>
  <si>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</si>
  <si>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</si>
  <si>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</si>
  <si>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</si>
  <si>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</si>
  <si>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</si>
  <si>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</si>
  <si>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</si>
  <si>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</si>
  <si>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</si>
  <si>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</si>
  <si>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</si>
  <si>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</si>
  <si>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</si>
  <si>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</si>
  <si>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</si>
  <si>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</si>
  <si>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</si>
  <si>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</si>
  <si>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</si>
  <si>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</si>
  <si>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</si>
  <si>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</si>
  <si>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</si>
  <si>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</si>
  <si>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</si>
  <si>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</si>
  <si>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</si>
  <si>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</si>
  <si>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</si>
  <si>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</si>
  <si>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</si>
  <si>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</si>
  <si>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</si>
  <si>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</si>
  <si>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</si>
  <si>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</si>
  <si>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</si>
  <si>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</si>
  <si>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</si>
  <si>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</si>
  <si>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</si>
  <si>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</si>
  <si>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</si>
  <si>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</si>
  <si>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</si>
  <si>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</si>
  <si>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</si>
  <si>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</si>
  <si>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</si>
  <si>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</si>
  <si>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</si>
  <si>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</si>
  <si>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</si>
  <si>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</si>
  <si>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</si>
  <si>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</si>
  <si>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</si>
  <si>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</si>
  <si>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</si>
  <si>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</si>
  <si>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</si>
  <si>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</si>
  <si>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</si>
  <si>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</si>
  <si>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</si>
  <si>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</si>
  <si>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</si>
  <si>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</si>
  <si>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</si>
  <si>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</si>
  <si>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</si>
  <si>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</si>
  <si>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</si>
  <si>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</si>
  <si>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</si>
  <si>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</si>
  <si>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</si>
  <si>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</si>
  <si>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</si>
  <si>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</si>
  <si>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</si>
  <si>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</si>
  <si>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</si>
  <si>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</si>
  <si>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</si>
  <si>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</si>
  <si>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</si>
  <si>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</si>
  <si>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</si>
  <si>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</si>
  <si>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</si>
  <si>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</si>
  <si>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</si>
  <si>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</si>
  <si>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</si>
  <si>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</si>
  <si>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</si>
  <si>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</si>
  <si>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</si>
  <si>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</si>
  <si>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</si>
  <si>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</si>
  <si>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</si>
  <si>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</si>
  <si>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</si>
  <si>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</si>
  <si>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</si>
  <si>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</si>
  <si>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</si>
  <si>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</si>
  <si>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</si>
  <si>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</si>
  <si>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</si>
  <si>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</si>
  <si>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</si>
  <si>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</si>
  <si>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</si>
  <si>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</si>
  <si>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</si>
  <si>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</si>
  <si>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</si>
  <si>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</si>
  <si>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</si>
  <si>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</si>
  <si>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</si>
  <si>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</si>
  <si>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</si>
  <si>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</si>
  <si>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</si>
  <si>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</si>
  <si>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</si>
  <si>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</si>
  <si>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</si>
  <si>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</si>
  <si>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</si>
  <si>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</si>
  <si>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</si>
  <si>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</si>
  <si>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</si>
  <si>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</si>
  <si>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</si>
  <si>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</si>
  <si>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</si>
  <si>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</si>
  <si>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</si>
  <si>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</si>
  <si>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</si>
  <si>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</si>
  <si>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</si>
  <si>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</si>
  <si>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</si>
  <si>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</si>
  <si>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</si>
  <si>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</si>
  <si>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</si>
  <si>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</si>
  <si>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</si>
  <si>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</si>
  <si>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</si>
  <si>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</si>
  <si>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</si>
  <si>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</si>
  <si>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</si>
  <si>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</si>
  <si>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</si>
  <si>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</si>
  <si>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</si>
  <si>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</si>
  <si>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</si>
  <si>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</si>
  <si>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</si>
  <si>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</si>
  <si>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</si>
  <si>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</si>
  <si>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</si>
  <si>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</si>
  <si>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</si>
  <si>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</si>
  <si>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</si>
  <si>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</si>
  <si>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</si>
  <si>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</si>
  <si>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</si>
  <si>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</si>
  <si>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</si>
  <si>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</si>
  <si>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</si>
  <si>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</si>
  <si>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</si>
  <si>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</si>
  <si>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</si>
  <si>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</si>
  <si>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</si>
  <si>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</si>
  <si>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</si>
  <si>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</si>
  <si>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</si>
  <si>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</si>
  <si>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</si>
  <si>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</si>
  <si>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</si>
  <si>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</si>
  <si>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</si>
  <si>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</si>
  <si>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</si>
  <si>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</si>
  <si>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</si>
  <si>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</si>
  <si>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</si>
  <si>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</si>
  <si>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</si>
  <si>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</si>
  <si>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</si>
  <si>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</si>
  <si>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</si>
  <si>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</si>
  <si>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</si>
  <si>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</si>
  <si>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</si>
  <si>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</si>
  <si>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</si>
  <si>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</si>
  <si>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</si>
  <si>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</si>
  <si>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</si>
  <si>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</si>
  <si>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</si>
  <si>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</si>
  <si>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</si>
  <si>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</si>
  <si>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</si>
  <si>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</si>
  <si>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</si>
  <si>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</si>
  <si>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</si>
  <si>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</si>
  <si>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</si>
  <si>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</si>
  <si>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</si>
  <si>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</si>
  <si>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</si>
  <si>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</si>
  <si>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</si>
  <si>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</si>
  <si>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</si>
  <si>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</si>
  <si>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</si>
  <si>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</si>
  <si>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</si>
  <si>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</si>
  <si>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</si>
  <si>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</si>
  <si>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</si>
  <si>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</si>
  <si>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</si>
  <si>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</si>
  <si>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</si>
  <si>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</si>
  <si>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</si>
  <si>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</si>
  <si>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</si>
  <si>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</si>
  <si>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</si>
  <si>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</si>
  <si>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</si>
  <si>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</si>
  <si>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</si>
  <si>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</si>
  <si>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</si>
  <si>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</si>
  <si>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</si>
  <si>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</si>
  <si>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</si>
  <si>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</si>
  <si>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</si>
  <si>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</si>
  <si>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</si>
  <si>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</si>
  <si>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</si>
  <si>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</si>
  <si>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</si>
  <si>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</si>
  <si>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</si>
  <si>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</si>
  <si>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</si>
  <si>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</si>
  <si>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</si>
  <si>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</si>
  <si>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</si>
  <si>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</si>
  <si>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</si>
  <si>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</si>
  <si>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</si>
  <si>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</si>
  <si>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</si>
  <si>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</si>
  <si>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</si>
  <si>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</si>
  <si>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</si>
  <si>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</si>
  <si>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</si>
  <si>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</si>
  <si>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</si>
  <si>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</si>
  <si>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</si>
  <si>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</si>
  <si>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</si>
  <si>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</si>
  <si>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</si>
  <si>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</si>
  <si>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</si>
  <si>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</si>
  <si>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</si>
  <si>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</si>
  <si>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</si>
  <si>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</si>
  <si>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</si>
  <si>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</si>
  <si>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</si>
  <si>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</si>
  <si>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</si>
  <si>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</si>
  <si>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</si>
  <si>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</si>
  <si>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</si>
  <si>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</si>
  <si>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</si>
  <si>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</si>
  <si>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</si>
  <si>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</si>
  <si>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</si>
  <si>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</si>
  <si>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</si>
  <si>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</si>
  <si>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</si>
  <si>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</si>
  <si>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</si>
  <si>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</si>
  <si>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</si>
  <si>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</si>
  <si>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</si>
  <si>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</si>
  <si>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</si>
  <si>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</si>
  <si>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</si>
  <si>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</si>
  <si>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</si>
  <si>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</si>
  <si>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</si>
  <si>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</si>
  <si>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</si>
  <si>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</si>
  <si>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</si>
  <si>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</si>
  <si>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</si>
  <si>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</si>
  <si>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</si>
  <si>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</si>
  <si>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</si>
  <si>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</si>
  <si>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</si>
  <si>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</si>
  <si>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</si>
  <si>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</si>
  <si>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</si>
  <si>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</si>
  <si>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</si>
  <si>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</si>
  <si>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</si>
  <si>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</si>
  <si>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</si>
  <si>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</si>
  <si>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</si>
  <si>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</si>
  <si>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</si>
  <si>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</si>
  <si>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</si>
  <si>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</si>
  <si>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</si>
  <si>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</si>
  <si>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</si>
  <si>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</si>
  <si>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</si>
  <si>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</si>
  <si>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</si>
  <si>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</si>
  <si>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</si>
  <si>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</si>
  <si>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</si>
  <si>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</si>
  <si>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</si>
  <si>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</si>
  <si>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</si>
  <si>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</si>
  <si>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</si>
  <si>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</si>
  <si>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</si>
  <si>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</si>
  <si>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</si>
  <si>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</si>
  <si>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</si>
  <si>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</si>
  <si>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</si>
  <si>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</si>
  <si>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</si>
  <si>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</si>
  <si>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</si>
  <si>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</si>
  <si>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</si>
  <si>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</si>
  <si>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</si>
  <si>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</si>
  <si>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</si>
  <si>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</si>
  <si>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</si>
  <si>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</si>
  <si>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</si>
  <si>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</si>
  <si>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</si>
  <si>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</si>
  <si>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</si>
  <si>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</si>
  <si>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</si>
  <si>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</si>
  <si>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</si>
  <si>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</si>
  <si>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</si>
  <si>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</si>
  <si>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</si>
  <si>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</si>
  <si>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</si>
  <si>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</si>
  <si>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</si>
  <si>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</si>
  <si>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</si>
  <si>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</si>
  <si>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</si>
  <si>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</si>
  <si>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</si>
  <si>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</si>
  <si>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</si>
  <si>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</si>
  <si>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</si>
  <si>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</si>
  <si>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</si>
  <si>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</si>
  <si>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</si>
  <si>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</si>
  <si>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</si>
  <si>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</si>
  <si>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</si>
  <si>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</si>
  <si>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</si>
  <si>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</si>
  <si>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</si>
  <si>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</si>
  <si>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</si>
  <si>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</si>
  <si>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</si>
  <si>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</si>
  <si>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</si>
  <si>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</si>
  <si>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</si>
  <si>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</si>
  <si>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</si>
  <si>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</si>
  <si>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</si>
  <si>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</si>
  <si>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</si>
  <si>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</si>
  <si>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</si>
  <si>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</si>
  <si>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</si>
  <si>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</si>
  <si>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</si>
  <si>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</si>
  <si>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</si>
  <si>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</si>
  <si>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</si>
  <si>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</si>
  <si>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</si>
  <si>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</si>
  <si>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</si>
  <si>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</si>
  <si>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</si>
  <si>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</si>
  <si>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</si>
  <si>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</si>
  <si>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</si>
  <si>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</si>
  <si>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</si>
  <si>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</si>
  <si>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</si>
  <si>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</si>
  <si>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</si>
  <si>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</si>
  <si>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</si>
  <si>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</si>
  <si>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</si>
  <si>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</si>
  <si>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</si>
  <si>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</si>
  <si>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</si>
  <si>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</si>
  <si>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</si>
  <si>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</si>
  <si>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</si>
  <si>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</si>
  <si>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</si>
  <si>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</si>
  <si>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</si>
  <si>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</si>
  <si>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</si>
  <si>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</si>
  <si>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</si>
  <si>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</si>
  <si>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</si>
  <si>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</si>
  <si>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</si>
  <si>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</si>
  <si>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</si>
  <si>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</si>
  <si>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</si>
  <si>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</si>
  <si>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</si>
  <si>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</si>
  <si>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</si>
  <si>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</si>
  <si>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</si>
  <si>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</si>
  <si>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</si>
  <si>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</si>
  <si>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</si>
  <si>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</si>
  <si>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</si>
  <si>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</si>
  <si>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</si>
  <si>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</si>
  <si>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</si>
  <si>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</si>
  <si>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</si>
  <si>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</si>
  <si>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</si>
  <si>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</si>
  <si>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</si>
  <si>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</si>
  <si>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</si>
  <si>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</si>
  <si>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</si>
  <si>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</si>
  <si>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</si>
  <si>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</si>
  <si>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</si>
  <si>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</si>
  <si>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</si>
  <si>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</si>
  <si>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</si>
  <si>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</si>
  <si>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</si>
  <si>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</si>
  <si>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</si>
  <si>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</si>
  <si>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</si>
  <si>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</si>
  <si>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</si>
  <si>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</si>
  <si>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</si>
  <si>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</si>
  <si>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</si>
  <si>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</si>
  <si>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</si>
  <si>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</si>
  <si>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</si>
  <si>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</si>
  <si>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</si>
  <si>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</si>
  <si>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</si>
  <si>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</si>
  <si>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</si>
  <si>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</si>
  <si>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</si>
  <si>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</si>
  <si>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</si>
  <si>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</si>
  <si>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</si>
  <si>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</si>
  <si>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</si>
  <si>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</si>
  <si>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</si>
  <si>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</si>
  <si>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</si>
  <si>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</si>
  <si>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</si>
  <si>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</si>
  <si>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</si>
  <si>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</si>
  <si>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</si>
  <si>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</si>
  <si>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</si>
  <si>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</si>
  <si>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</si>
  <si>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</si>
  <si>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</si>
  <si>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</si>
  <si>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</si>
  <si>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</si>
  <si>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</si>
  <si>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</si>
  <si>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</si>
  <si>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</si>
  <si>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</si>
  <si>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</si>
  <si>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</si>
  <si>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</si>
  <si>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</si>
  <si>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</si>
  <si>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</si>
  <si>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</si>
  <si>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</si>
  <si>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</si>
  <si>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</si>
  <si>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</si>
  <si>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</si>
  <si>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</si>
  <si>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</si>
  <si>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</si>
  <si>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</si>
  <si>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</si>
  <si>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</si>
  <si>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</si>
  <si>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</si>
  <si>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</si>
  <si>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</si>
  <si>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</si>
  <si>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</si>
  <si>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</si>
  <si>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</si>
  <si>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</si>
  <si>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</si>
  <si>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</si>
  <si>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</si>
  <si>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</si>
  <si>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</si>
  <si>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</si>
  <si>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</si>
  <si>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</si>
  <si>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</si>
  <si>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</si>
  <si>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</si>
  <si>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</si>
  <si>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</si>
  <si>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</si>
  <si>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</si>
  <si>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</si>
  <si>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</si>
  <si>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</si>
  <si>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</si>
  <si>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</si>
  <si>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</si>
  <si>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</si>
  <si>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</si>
  <si>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</si>
  <si>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</si>
  <si>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</si>
  <si>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</si>
  <si>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</si>
  <si>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</si>
  <si>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</si>
  <si>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</si>
  <si>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</si>
  <si>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</si>
  <si>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</si>
  <si>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</si>
  <si>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</si>
  <si>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</si>
  <si>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</si>
  <si>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</si>
  <si>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</si>
  <si>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</si>
  <si>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</si>
  <si>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</si>
  <si>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</si>
  <si>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</si>
  <si>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</si>
  <si>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</si>
  <si>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</si>
  <si>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</si>
  <si>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</si>
  <si>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</si>
  <si>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</si>
  <si>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</si>
  <si>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</si>
  <si>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</si>
  <si>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</si>
  <si>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</si>
  <si>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</si>
  <si>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</si>
  <si>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</si>
  <si>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</si>
  <si>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</si>
  <si>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</si>
  <si>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</si>
  <si>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</si>
  <si>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</si>
  <si>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</si>
  <si>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</si>
  <si>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</si>
  <si>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</si>
  <si>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</si>
  <si>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</si>
  <si>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</si>
  <si>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</si>
  <si>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</si>
  <si>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</si>
  <si>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</si>
  <si>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</si>
  <si>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</si>
  <si>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</si>
  <si>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</si>
  <si>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</si>
  <si>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</si>
  <si>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</si>
  <si>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</si>
  <si>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</si>
  <si>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</si>
  <si>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</si>
  <si>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</si>
  <si>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</si>
  <si>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</si>
  <si>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</si>
  <si>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</si>
  <si>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</si>
  <si>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</si>
  <si>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</si>
  <si>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</si>
  <si>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</si>
  <si>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</si>
  <si>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</si>
  <si>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</si>
  <si>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</si>
  <si>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</si>
  <si>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</si>
  <si>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</si>
  <si>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</si>
  <si>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</si>
  <si>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</si>
  <si>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</si>
  <si>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</si>
  <si>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</si>
  <si>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</si>
  <si>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</si>
  <si>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</si>
  <si>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</si>
  <si>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</si>
  <si>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</si>
  <si>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</si>
  <si>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</si>
  <si>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</si>
  <si>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</si>
  <si>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</si>
  <si>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</si>
  <si>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</si>
  <si>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</si>
  <si>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</si>
  <si>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</si>
  <si>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</si>
  <si>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</si>
  <si>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</si>
  <si>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</si>
  <si>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</si>
  <si>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</si>
  <si>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</si>
  <si>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</si>
  <si>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</si>
  <si>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</si>
  <si>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</si>
  <si>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</si>
  <si>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</si>
  <si>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</si>
  <si>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</si>
  <si>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</si>
  <si>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</si>
  <si>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</si>
  <si>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</si>
  <si>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</si>
  <si>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</si>
  <si>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</si>
  <si>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</si>
  <si>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</si>
  <si>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</si>
  <si>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</si>
  <si>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</si>
  <si>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</si>
  <si>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</si>
  <si>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</si>
  <si>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</si>
  <si>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</si>
  <si>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</si>
  <si>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</si>
  <si>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</si>
  <si>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</si>
  <si>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</si>
  <si>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</si>
  <si>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</si>
  <si>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</si>
  <si>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</si>
  <si>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</si>
  <si>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</si>
  <si>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</si>
  <si>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</si>
  <si>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</si>
  <si>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</si>
  <si>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</si>
  <si>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</si>
  <si>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</si>
  <si>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</si>
  <si>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</si>
  <si>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</si>
  <si>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</si>
  <si>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</si>
  <si>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</si>
  <si>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</si>
  <si>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</si>
  <si>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</si>
  <si>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</si>
  <si>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</si>
  <si>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</si>
  <si>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</si>
  <si>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</si>
  <si>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</si>
  <si>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</si>
  <si>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</si>
  <si>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</si>
  <si>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</si>
  <si>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</si>
  <si>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</si>
  <si>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</si>
  <si>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</si>
  <si>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</si>
  <si>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</si>
  <si>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</si>
  <si>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</si>
  <si>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</si>
  <si>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</si>
  <si>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</si>
  <si>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</si>
  <si>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</si>
  <si>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</si>
  <si>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</si>
  <si>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</si>
  <si>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</si>
  <si>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</si>
  <si>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</si>
  <si>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</si>
  <si>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</si>
  <si>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</si>
  <si>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</si>
  <si>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</si>
  <si>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</si>
  <si>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</si>
  <si>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</si>
  <si>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</si>
  <si>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</si>
  <si>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</si>
  <si>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</si>
  <si>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</si>
  <si>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</si>
  <si>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</si>
  <si>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</si>
  <si>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</si>
  <si>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</si>
  <si>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</si>
  <si>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</si>
  <si>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</si>
  <si>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</si>
  <si>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</si>
  <si>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</si>
  <si>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</si>
  <si>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</si>
  <si>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</si>
  <si>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</si>
  <si>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</si>
  <si>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</si>
  <si>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</si>
  <si>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</si>
  <si>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</si>
  <si>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</si>
  <si>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</si>
  <si>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</si>
  <si>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</si>
  <si>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</si>
  <si>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</si>
  <si>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</si>
  <si>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</si>
  <si>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</si>
  <si>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</si>
  <si>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</si>
  <si>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</si>
  <si>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</si>
  <si>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</si>
  <si>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</si>
  <si>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</si>
  <si>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</si>
  <si>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</si>
  <si>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</si>
  <si>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</si>
  <si>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</si>
  <si>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</si>
  <si>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</si>
  <si>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</si>
  <si>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</si>
  <si>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</si>
  <si>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</si>
  <si>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</si>
  <si>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</si>
  <si>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</si>
  <si>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</si>
  <si>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</si>
  <si>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</si>
  <si>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</si>
  <si>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</si>
  <si>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</si>
  <si>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</si>
  <si>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</si>
  <si>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</si>
  <si>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</si>
  <si>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</si>
  <si>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</si>
  <si>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</si>
  <si>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</si>
  <si>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</si>
  <si>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</si>
  <si>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</si>
  <si>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</si>
  <si>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</si>
  <si>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</si>
  <si>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</si>
  <si>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</si>
  <si>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</si>
  <si>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</si>
  <si>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</si>
  <si>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</si>
  <si>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</si>
  <si>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</si>
  <si>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</si>
  <si>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</si>
  <si>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</si>
  <si>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</si>
  <si>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</si>
  <si>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</si>
  <si>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</si>
  <si>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</si>
  <si>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</si>
  <si>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</si>
  <si>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</si>
  <si>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</si>
  <si>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</si>
  <si>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</si>
  <si>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</si>
  <si>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</si>
  <si>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</si>
  <si>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</si>
  <si>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</si>
  <si>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</si>
  <si>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</si>
  <si>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</si>
  <si>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</si>
  <si>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</si>
  <si>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</si>
  <si>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</si>
  <si>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</si>
  <si>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</si>
  <si>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</si>
  <si>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</si>
  <si>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</si>
  <si>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</si>
  <si>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</si>
  <si>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</si>
  <si>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</si>
  <si>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</si>
  <si>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</si>
  <si>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</si>
  <si>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</si>
  <si>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</si>
  <si>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</si>
  <si>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</si>
  <si>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</si>
  <si>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</si>
  <si>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</si>
  <si>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</si>
  <si>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</si>
  <si>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</si>
  <si>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</si>
  <si>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</si>
  <si>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</si>
  <si>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</si>
  <si>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</si>
  <si>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</si>
  <si>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</si>
  <si>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</si>
  <si>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</si>
  <si>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</si>
  <si>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</si>
  <si>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</si>
  <si>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</si>
  <si>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</si>
  <si>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</si>
  <si>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</si>
  <si>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</si>
  <si>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</si>
  <si>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</si>
  <si>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</si>
  <si>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</si>
  <si>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</si>
  <si>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</si>
  <si>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</si>
  <si>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</si>
  <si>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</si>
  <si>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</si>
  <si>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</si>
  <si>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</si>
  <si>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</si>
  <si>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</si>
  <si>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</si>
  <si>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</si>
  <si>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</si>
  <si>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</si>
  <si>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</si>
  <si>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</si>
  <si>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</si>
  <si>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</si>
  <si>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</si>
  <si>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</si>
  <si>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</si>
  <si>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</si>
  <si>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</si>
  <si>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</si>
  <si>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</si>
  <si>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</si>
  <si>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</si>
  <si>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</si>
  <si>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</si>
  <si>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</si>
  <si>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</si>
  <si>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</si>
  <si>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</si>
  <si>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</si>
  <si>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</si>
  <si>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</si>
  <si>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</si>
  <si>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</si>
  <si>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</si>
  <si>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</si>
  <si>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</si>
  <si>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</si>
  <si>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</si>
  <si>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</si>
  <si>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</si>
  <si>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</si>
  <si>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</si>
  <si>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</si>
  <si>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</si>
  <si>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</si>
  <si>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</si>
  <si>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</si>
  <si>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</si>
  <si>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</si>
  <si>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</si>
  <si>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</si>
  <si>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</si>
  <si>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</si>
  <si>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</si>
  <si>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</si>
  <si>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</si>
  <si>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</si>
  <si>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</si>
  <si>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</si>
  <si>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</si>
  <si>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</si>
  <si>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</si>
  <si>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</si>
  <si>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</si>
  <si>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</si>
  <si>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</si>
  <si>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</si>
  <si>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</si>
  <si>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</si>
  <si>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</si>
  <si>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</si>
  <si>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</si>
  <si>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</si>
  <si>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</si>
  <si>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</si>
  <si>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</si>
  <si>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</si>
  <si>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</si>
  <si>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</si>
  <si>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</si>
  <si>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</si>
  <si>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</si>
  <si>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</si>
  <si>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</si>
  <si>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</si>
  <si>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</si>
  <si>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</si>
  <si>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</si>
  <si>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</si>
  <si>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</si>
  <si>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</si>
  <si>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</si>
  <si>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</si>
  <si>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</si>
  <si>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</si>
  <si>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</si>
  <si>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</si>
  <si>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</si>
  <si>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</si>
  <si>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</si>
  <si>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</si>
  <si>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</si>
  <si>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</si>
  <si>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</si>
  <si>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</si>
  <si>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</si>
  <si>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</si>
  <si>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</si>
  <si>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</si>
  <si>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</si>
  <si>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</si>
  <si>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</si>
  <si>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</si>
  <si>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</si>
  <si>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</si>
  <si>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</si>
  <si>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</si>
  <si>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</si>
  <si>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</si>
  <si>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</si>
  <si>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</si>
  <si>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</si>
  <si>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</si>
  <si>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</si>
  <si>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</si>
  <si>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</si>
  <si>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</si>
  <si>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</si>
  <si>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</si>
  <si>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</si>
  <si>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</si>
  <si>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</si>
  <si>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</si>
  <si>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</si>
  <si>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</si>
  <si>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</si>
  <si>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</si>
  <si>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</si>
  <si>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</si>
  <si>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</si>
  <si>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</si>
  <si>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</si>
  <si>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</si>
  <si>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</si>
  <si>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</si>
  <si>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</si>
  <si>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</si>
  <si>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</si>
  <si>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</si>
  <si>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</si>
  <si>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</si>
  <si>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</si>
  <si>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</si>
  <si>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</si>
  <si>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</si>
  <si>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</si>
  <si>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</si>
  <si>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</si>
  <si>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</si>
  <si>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</si>
  <si>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</si>
  <si>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</si>
  <si>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</si>
  <si>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</si>
  <si>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</si>
  <si>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</si>
  <si>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</si>
  <si>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</si>
  <si>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</si>
  <si>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</si>
  <si>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</si>
  <si>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</si>
  <si>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</si>
  <si>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</si>
  <si>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</si>
  <si>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</si>
  <si>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</si>
  <si>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</si>
  <si>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</si>
  <si>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</si>
  <si>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</si>
  <si>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</si>
  <si>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</si>
  <si>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</si>
  <si>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</si>
  <si>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</si>
  <si>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</si>
  <si>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</si>
  <si>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</si>
  <si>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</si>
  <si>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</si>
  <si>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</si>
  <si>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</si>
  <si>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</si>
  <si>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</si>
  <si>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</si>
  <si>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</si>
  <si>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</si>
  <si>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</si>
  <si>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</si>
  <si>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</si>
  <si>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</si>
  <si>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</si>
  <si>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</si>
  <si>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</si>
  <si>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</si>
  <si>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</si>
  <si>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</si>
  <si>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</si>
  <si>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</si>
  <si>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</si>
  <si>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</si>
  <si>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</si>
  <si>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</si>
  <si>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</si>
  <si>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</si>
  <si>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</si>
  <si>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</si>
  <si>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</si>
  <si>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</si>
  <si>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</si>
  <si>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</si>
  <si>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</si>
  <si>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</si>
  <si>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</si>
  <si>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</si>
  <si>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</si>
  <si>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</si>
  <si>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</si>
  <si>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</si>
  <si>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</si>
  <si>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</si>
  <si>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</si>
  <si>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</si>
  <si>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</si>
  <si>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</si>
  <si>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</si>
  <si>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</si>
  <si>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</si>
  <si>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</si>
  <si>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</si>
  <si>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</si>
  <si>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</si>
  <si>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</si>
  <si>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</si>
  <si>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</si>
  <si>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</si>
  <si>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</si>
  <si>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</si>
  <si>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</si>
  <si>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</si>
  <si>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</si>
  <si>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</si>
  <si>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</si>
  <si>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</si>
  <si>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</si>
  <si>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</si>
  <si>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</si>
  <si>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</si>
  <si>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</si>
  <si>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</si>
  <si>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</si>
  <si>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</si>
  <si>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</si>
  <si>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</si>
  <si>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</si>
  <si>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</si>
  <si>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</si>
  <si>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</si>
  <si>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</si>
  <si>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</si>
  <si>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</si>
  <si>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</si>
  <si>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</si>
  <si>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</si>
  <si>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</si>
  <si>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</si>
  <si>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</si>
  <si>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</si>
  <si>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</si>
  <si>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</si>
  <si>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</si>
  <si>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</si>
  <si>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</si>
  <si>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</si>
  <si>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</si>
  <si>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</si>
  <si>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</si>
  <si>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</si>
  <si>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</si>
  <si>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</si>
  <si>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</si>
  <si>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</si>
  <si>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</si>
  <si>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</si>
  <si>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</si>
  <si>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</si>
  <si>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</si>
  <si>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</si>
  <si>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</si>
  <si>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</si>
  <si>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</si>
  <si>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</si>
  <si>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</si>
  <si>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</si>
  <si>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</si>
  <si>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</si>
  <si>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</si>
  <si>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</si>
  <si>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</si>
  <si>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</si>
  <si>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</si>
  <si>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</si>
  <si>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</si>
  <si>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</si>
  <si>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</si>
  <si>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</si>
  <si>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</si>
  <si>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</si>
  <si>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</si>
  <si>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</si>
  <si>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</si>
  <si>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</si>
  <si>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</si>
  <si>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</si>
  <si>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</si>
  <si>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</si>
  <si>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</si>
  <si>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</si>
  <si>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</si>
  <si>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</si>
  <si>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</si>
  <si>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</si>
  <si>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</si>
  <si>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</si>
  <si>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</si>
  <si>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</si>
  <si>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</si>
  <si>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</si>
  <si>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</si>
  <si>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</si>
  <si>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</si>
  <si>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</si>
  <si>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</si>
  <si>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</si>
  <si>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</si>
  <si>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</si>
  <si>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</si>
  <si>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</si>
  <si>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</si>
  <si>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</si>
  <si>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</si>
  <si>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</si>
  <si>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</si>
  <si>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</si>
  <si>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</si>
  <si>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</si>
  <si>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</si>
  <si>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</si>
  <si>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</si>
  <si>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</si>
  <si>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</si>
  <si>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</si>
  <si>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</si>
  <si>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</si>
  <si>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</si>
  <si>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</si>
  <si>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</si>
  <si>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</si>
  <si>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</si>
  <si>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</si>
  <si>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</si>
  <si>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</si>
  <si>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</si>
  <si>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</si>
  <si>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</si>
  <si>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</si>
  <si>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</si>
  <si>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</si>
  <si>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</si>
  <si>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</si>
  <si>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</si>
  <si>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</si>
  <si>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</si>
  <si>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</si>
  <si>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</si>
  <si>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</si>
  <si>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</si>
  <si>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</si>
  <si>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</si>
  <si>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</si>
  <si>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</si>
  <si>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</si>
  <si>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</si>
  <si>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</si>
  <si>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</si>
  <si>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</si>
  <si>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</si>
  <si>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</si>
  <si>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</si>
  <si>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</si>
  <si>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</si>
  <si>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</si>
  <si>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</si>
  <si>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</si>
  <si>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</si>
  <si>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</si>
  <si>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</si>
  <si>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</si>
  <si>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</si>
  <si>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</si>
  <si>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</si>
  <si>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</si>
  <si>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</si>
  <si>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</si>
  <si>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</si>
  <si>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</si>
  <si>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</si>
  <si>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</si>
  <si>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</si>
  <si>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</si>
  <si>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</si>
  <si>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</si>
  <si>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</si>
  <si>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</si>
  <si>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</si>
  <si>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</si>
  <si>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</si>
  <si>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</si>
  <si>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</si>
  <si>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</si>
  <si>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</si>
  <si>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</si>
  <si>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</si>
  <si>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</si>
  <si>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</si>
  <si>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</si>
  <si>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</si>
  <si>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</si>
  <si>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</si>
  <si>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</si>
  <si>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</si>
  <si>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</si>
  <si>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</si>
  <si>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</si>
  <si>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</si>
  <si>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</si>
  <si>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</si>
  <si>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</si>
  <si>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</si>
  <si>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</si>
  <si>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</si>
  <si>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</si>
  <si>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</si>
  <si>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</si>
  <si>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</si>
  <si>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</si>
  <si>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</si>
  <si>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</si>
  <si>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</si>
  <si>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</si>
  <si>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</si>
  <si>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</si>
  <si>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</si>
  <si>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</si>
  <si>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</si>
  <si>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</si>
  <si>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</si>
  <si>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</si>
  <si>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</si>
  <si>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</si>
  <si>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</si>
  <si>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</si>
  <si>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</si>
  <si>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</si>
  <si>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</si>
  <si>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</si>
  <si>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</si>
  <si>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</si>
  <si>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</si>
  <si>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</si>
  <si>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</si>
  <si>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</si>
  <si>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</si>
  <si>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</si>
  <si>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</si>
  <si>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</si>
  <si>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</si>
  <si>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</si>
  <si>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</si>
  <si>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</si>
  <si>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</si>
  <si>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</si>
  <si>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</si>
  <si>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</si>
  <si>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</si>
  <si>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</si>
  <si>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</si>
  <si>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</si>
  <si>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</si>
  <si>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</si>
  <si>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</si>
  <si>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</si>
  <si>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</si>
  <si>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</si>
  <si>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</si>
  <si>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</si>
  <si>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</si>
  <si>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</si>
  <si>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</si>
  <si>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</si>
  <si>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</si>
  <si>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</si>
  <si>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</si>
  <si>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</si>
  <si>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</si>
  <si>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</si>
  <si>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</si>
  <si>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</si>
  <si>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</si>
  <si>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</si>
  <si>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</si>
  <si>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</si>
  <si>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</si>
  <si>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</si>
  <si>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</si>
  <si>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</si>
  <si>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</si>
  <si>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</si>
  <si>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</si>
  <si>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</si>
  <si>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</si>
  <si>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</si>
  <si>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</si>
  <si>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</si>
  <si>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</si>
  <si>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</si>
  <si>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</si>
  <si>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</si>
  <si>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</si>
  <si>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</si>
  <si>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</si>
  <si>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</si>
  <si>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</si>
  <si>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</si>
  <si>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</si>
  <si>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</si>
  <si>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</si>
  <si>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</si>
  <si>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</si>
  <si>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</si>
  <si>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</si>
  <si>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</si>
  <si>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</si>
  <si>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</si>
  <si>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</si>
  <si>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</si>
  <si>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</si>
  <si>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</si>
  <si>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</si>
  <si>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</si>
  <si>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</si>
  <si>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</si>
  <si>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</si>
  <si>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</si>
  <si>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</si>
  <si>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</si>
  <si>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</si>
  <si>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</si>
  <si>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</si>
  <si>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</si>
  <si>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</si>
  <si>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</si>
  <si>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</si>
  <si>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</si>
  <si>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</si>
  <si>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</si>
  <si>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</si>
  <si>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</si>
  <si>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</si>
  <si>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</si>
  <si>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</si>
  <si>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</si>
  <si>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</si>
  <si>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</si>
  <si>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</si>
  <si>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</si>
  <si>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</si>
  <si>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</si>
  <si>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</si>
  <si>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</si>
  <si>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</si>
  <si>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</si>
  <si>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</si>
  <si>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</si>
  <si>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</si>
  <si>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</si>
  <si>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</si>
  <si>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</si>
  <si>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</si>
  <si>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</si>
  <si>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</si>
  <si>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</si>
  <si>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</si>
  <si>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</si>
  <si>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</si>
  <si>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</si>
  <si>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</si>
  <si>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</si>
  <si>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</si>
  <si>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</si>
  <si>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</si>
  <si>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</si>
  <si>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</si>
  <si>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</si>
  <si>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</si>
  <si>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</si>
  <si>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</si>
  <si>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</si>
  <si>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</si>
  <si>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</si>
  <si>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</si>
  <si>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</si>
  <si>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</si>
  <si>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</si>
  <si>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</si>
  <si>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</si>
  <si>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</si>
  <si>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</si>
  <si>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</si>
  <si>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</si>
  <si>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</si>
  <si>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</si>
  <si>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</si>
  <si>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</si>
  <si>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</si>
  <si>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</si>
  <si>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</si>
  <si>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</si>
  <si>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</si>
  <si>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</si>
  <si>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</si>
  <si>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</si>
  <si>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</si>
  <si>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</si>
  <si>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</si>
  <si>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</si>
  <si>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</si>
  <si>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</si>
  <si>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</si>
  <si>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</si>
  <si>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</si>
  <si>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</si>
  <si>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</si>
  <si>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</si>
  <si>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</si>
  <si>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</si>
  <si>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</si>
  <si>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</si>
  <si>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</si>
  <si>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</si>
  <si>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</si>
  <si>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</si>
  <si>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</si>
  <si>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</si>
  <si>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</si>
  <si>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</si>
  <si>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</si>
  <si>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</si>
  <si>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</si>
  <si>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</si>
  <si>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</si>
  <si>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</si>
  <si>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</si>
  <si>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</si>
  <si>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</si>
  <si>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</si>
  <si>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</si>
  <si>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</si>
  <si>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</si>
  <si>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</si>
  <si>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</si>
  <si>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</si>
  <si>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</si>
  <si>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</si>
  <si>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</si>
  <si>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</si>
  <si>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</si>
  <si>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</si>
  <si>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</si>
  <si>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</si>
  <si>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</si>
  <si>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</si>
  <si>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</si>
  <si>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</si>
  <si>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</si>
  <si>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</si>
  <si>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</si>
  <si>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</si>
  <si>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</si>
  <si>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</si>
  <si>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</si>
  <si>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</si>
  <si>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</si>
  <si>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</si>
  <si>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</si>
  <si>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</si>
  <si>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</si>
  <si>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</si>
  <si>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</si>
  <si>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</si>
  <si>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</si>
  <si>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</si>
  <si>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</si>
  <si>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</si>
  <si>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</si>
  <si>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</si>
  <si>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</si>
  <si>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</si>
  <si>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</si>
  <si>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</si>
  <si>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</si>
  <si>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</si>
  <si>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</si>
  <si>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</si>
  <si>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</si>
  <si>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</si>
  <si>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</si>
  <si>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</si>
  <si>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</si>
  <si>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</si>
  <si>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</si>
  <si>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</si>
  <si>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</si>
  <si>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</si>
  <si>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</si>
  <si>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</si>
  <si>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</si>
  <si>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</si>
  <si>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</si>
  <si>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</si>
  <si>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</si>
  <si>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</si>
  <si>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</si>
  <si>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</si>
  <si>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</si>
  <si>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</si>
  <si>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</si>
  <si>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</si>
  <si>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</si>
  <si>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</si>
  <si>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</si>
  <si>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</si>
  <si>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</si>
  <si>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</si>
  <si>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</si>
  <si>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</si>
  <si>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</si>
  <si>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</si>
  <si>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</si>
  <si>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</si>
  <si>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</si>
  <si>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</si>
  <si>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</si>
  <si>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</si>
  <si>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</si>
  <si>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</si>
  <si>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</si>
  <si>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</si>
  <si>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</si>
  <si>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</si>
  <si>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</si>
  <si>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</si>
  <si>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</si>
  <si>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</si>
  <si>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</si>
  <si>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</si>
  <si>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</si>
  <si>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</si>
  <si>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</si>
  <si>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</si>
  <si>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</si>
  <si>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</si>
  <si>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</si>
  <si>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</si>
  <si>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</si>
  <si>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</si>
  <si>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</si>
  <si>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</si>
  <si>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</si>
  <si>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</si>
  <si>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</si>
  <si>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</si>
  <si>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</si>
  <si>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</si>
  <si>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</si>
  <si>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</si>
  <si>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</si>
  <si>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</si>
  <si>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</si>
  <si>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</si>
  <si>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</si>
  <si>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</si>
  <si>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</si>
  <si>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</si>
  <si>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</si>
  <si>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</si>
  <si>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</si>
  <si>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</si>
  <si>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</si>
  <si>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</si>
  <si>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</si>
  <si>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</si>
  <si>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</si>
  <si>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</si>
  <si>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</si>
  <si>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</si>
  <si>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</si>
  <si>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</si>
  <si>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</si>
  <si>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</si>
  <si>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</si>
  <si>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</si>
  <si>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</si>
  <si>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</si>
  <si>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</si>
  <si>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</si>
  <si>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</si>
  <si>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</si>
  <si>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</si>
  <si>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</si>
  <si>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</si>
  <si>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</si>
  <si>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</si>
  <si>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</si>
  <si>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</si>
  <si>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</si>
  <si>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</si>
  <si>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</si>
  <si>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</si>
  <si>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</si>
  <si>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</si>
  <si>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</si>
  <si>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</si>
  <si>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</si>
  <si>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</si>
  <si>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</si>
  <si>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</si>
  <si>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</si>
  <si>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</si>
  <si>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</si>
  <si>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</si>
  <si>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</si>
  <si>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</si>
  <si>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</si>
  <si>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</si>
  <si>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</si>
  <si>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</si>
  <si>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</si>
  <si>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</si>
  <si>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</si>
  <si>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</si>
  <si>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</si>
  <si>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</si>
  <si>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</si>
  <si>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</si>
  <si>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</si>
  <si>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</si>
  <si>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</si>
  <si>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</si>
  <si>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</si>
  <si>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</si>
  <si>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</si>
  <si>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</si>
  <si>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</si>
  <si>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</si>
  <si>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</si>
  <si>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</si>
  <si>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</si>
  <si>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</si>
  <si>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</si>
  <si>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</si>
  <si>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</si>
  <si>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</si>
  <si>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</si>
  <si>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</si>
  <si>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</si>
  <si>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</si>
  <si>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</si>
  <si>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</si>
  <si>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</si>
  <si>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</si>
  <si>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</si>
  <si>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</si>
  <si>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</si>
  <si>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</si>
  <si>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</si>
  <si>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</si>
  <si>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</si>
  <si>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</si>
  <si>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</si>
  <si>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</si>
  <si>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</si>
  <si>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</si>
  <si>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</si>
  <si>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</si>
  <si>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</si>
  <si>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</si>
  <si>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</si>
  <si>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</si>
  <si>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</si>
  <si>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</si>
  <si>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</si>
  <si>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</si>
  <si>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</si>
  <si>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</si>
  <si>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</si>
  <si>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</si>
  <si>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</si>
  <si>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</si>
  <si>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</si>
  <si>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</si>
  <si>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</si>
  <si>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</si>
  <si>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</si>
  <si>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</si>
  <si>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</si>
  <si>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</si>
  <si>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</si>
  <si>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</si>
  <si>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</si>
  <si>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</si>
  <si>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</si>
  <si>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</si>
  <si>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</si>
  <si>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</si>
  <si>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</si>
  <si>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</si>
  <si>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</si>
  <si>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</si>
  <si>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</si>
  <si>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</si>
  <si>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</si>
  <si>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</si>
  <si>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</si>
  <si>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</si>
  <si>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</si>
  <si>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</si>
  <si>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</si>
  <si>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</si>
  <si>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</si>
  <si>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</si>
  <si>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</si>
  <si>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</si>
  <si>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</si>
  <si>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</si>
  <si>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</si>
  <si>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</si>
  <si>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</si>
  <si>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</si>
  <si>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</si>
  <si>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</si>
  <si>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</si>
  <si>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</si>
  <si>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</si>
  <si>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</si>
  <si>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</si>
  <si>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</si>
  <si>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</si>
  <si>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</si>
  <si>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</si>
  <si>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</si>
  <si>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</si>
  <si>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</si>
  <si>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</si>
  <si>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</si>
  <si>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</si>
  <si>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</si>
  <si>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</si>
  <si>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</si>
  <si>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</si>
  <si>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</si>
  <si>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</si>
  <si>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</si>
  <si>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</si>
  <si>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</si>
  <si>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</si>
  <si>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</si>
  <si>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</si>
  <si>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</si>
  <si>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</si>
  <si>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</si>
  <si>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</si>
  <si>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</si>
  <si>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</si>
  <si>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</si>
  <si>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</si>
  <si>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</si>
  <si>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</si>
  <si>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</si>
  <si>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</si>
  <si>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</si>
  <si>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</si>
  <si>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</si>
  <si>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</si>
  <si>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</si>
  <si>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</si>
  <si>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</si>
  <si>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</si>
  <si>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</si>
  <si>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</si>
  <si>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</si>
  <si>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</si>
  <si>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</si>
  <si>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</si>
  <si>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</si>
  <si>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</si>
  <si>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</si>
  <si>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</si>
  <si>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</si>
  <si>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</si>
  <si>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</si>
  <si>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</si>
  <si>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</si>
  <si>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</si>
  <si>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</si>
  <si>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</si>
  <si>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</si>
  <si>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</si>
  <si>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</si>
  <si>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</si>
  <si>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</si>
  <si>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</si>
  <si>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</si>
  <si>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</si>
  <si>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</si>
  <si>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</si>
  <si>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</si>
  <si>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</si>
  <si>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</si>
  <si>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</si>
  <si>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</si>
  <si>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</si>
  <si>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</si>
  <si>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</si>
  <si>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</si>
  <si>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</si>
  <si>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</si>
  <si>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</si>
  <si>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</si>
  <si>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</si>
  <si>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</si>
  <si>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</si>
  <si>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</si>
  <si>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</si>
  <si>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</si>
  <si>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</si>
  <si>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</si>
  <si>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</si>
  <si>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</si>
  <si>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</si>
  <si>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</si>
  <si>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</si>
  <si>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</si>
  <si>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</si>
  <si>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</si>
  <si>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</si>
  <si>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</si>
  <si>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</si>
  <si>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</si>
  <si>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</si>
  <si>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</si>
  <si>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</si>
  <si>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</si>
  <si>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</si>
  <si>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</si>
  <si>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</si>
  <si>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</si>
  <si>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</si>
  <si>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</si>
  <si>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</si>
  <si>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</si>
  <si>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</si>
  <si>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</si>
  <si>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</si>
  <si>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</si>
  <si>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</si>
  <si>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</si>
  <si>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</si>
  <si>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</si>
  <si>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</si>
  <si>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</si>
  <si>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</si>
  <si>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</si>
  <si>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</si>
  <si>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</si>
  <si>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</si>
  <si>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</si>
  <si>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</si>
  <si>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</si>
  <si>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</si>
  <si>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</si>
  <si>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</si>
  <si>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</si>
  <si>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</si>
  <si>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</si>
  <si>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</si>
  <si>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</si>
  <si>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</si>
  <si>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</si>
  <si>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</si>
  <si>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</si>
  <si>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</si>
  <si>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</si>
  <si>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</si>
  <si>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</si>
  <si>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</si>
  <si>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</si>
  <si>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</si>
  <si>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</si>
  <si>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</si>
  <si>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</si>
  <si>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</si>
  <si>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</si>
  <si>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</si>
  <si>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</si>
  <si>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</si>
  <si>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</si>
  <si>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</si>
  <si>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</si>
  <si>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</si>
  <si>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</si>
  <si>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</si>
  <si>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</si>
  <si>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</si>
  <si>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</si>
  <si>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</si>
  <si>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</si>
  <si>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</si>
  <si>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</si>
  <si>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</si>
  <si>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</si>
  <si>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</si>
  <si>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</si>
  <si>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</si>
  <si>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</si>
  <si>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</si>
  <si>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</si>
  <si>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</si>
  <si>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</si>
  <si>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</si>
  <si>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</si>
  <si>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</si>
  <si>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</si>
  <si>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</si>
  <si>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</si>
  <si>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</si>
  <si>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</si>
  <si>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</si>
  <si>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</si>
  <si>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</si>
  <si>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</si>
  <si>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</si>
  <si>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</si>
  <si>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</si>
  <si>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</si>
  <si>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</si>
  <si>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</si>
  <si>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</si>
  <si>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</si>
  <si>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</si>
  <si>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</si>
  <si>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</si>
  <si>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</si>
  <si>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</si>
  <si>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</si>
  <si>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</si>
  <si>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</si>
  <si>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</si>
  <si>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</si>
  <si>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</si>
  <si>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</si>
  <si>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</si>
  <si>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</si>
  <si>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</si>
  <si>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</si>
  <si>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</si>
  <si>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</si>
  <si>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</si>
  <si>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</si>
  <si>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</si>
  <si>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</si>
  <si>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</si>
  <si>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</si>
  <si>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</si>
  <si>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</si>
  <si>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</si>
  <si>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</si>
  <si>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</si>
  <si>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</si>
  <si>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</si>
  <si>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</si>
  <si>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</si>
  <si>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</si>
  <si>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</si>
  <si>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</si>
  <si>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</si>
  <si>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</si>
  <si>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</si>
  <si>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</si>
  <si>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</si>
  <si>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</si>
  <si>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</si>
  <si>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</si>
  <si>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</si>
  <si>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</si>
  <si>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</si>
  <si>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</si>
  <si>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</si>
  <si>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</si>
  <si>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</si>
  <si>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</si>
  <si>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</si>
  <si>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</si>
  <si>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</si>
  <si>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</si>
  <si>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</si>
  <si>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</si>
  <si>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</si>
  <si>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</si>
  <si>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</si>
  <si>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</si>
  <si>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</si>
  <si>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</si>
  <si>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</si>
  <si>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</si>
  <si>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</si>
  <si>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</si>
  <si>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</si>
  <si>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</si>
  <si>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</si>
  <si>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</si>
  <si>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</si>
  <si>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</si>
  <si>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</si>
  <si>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</si>
  <si>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</si>
  <si>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</si>
  <si>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</si>
  <si>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</si>
  <si>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</si>
  <si>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</si>
  <si>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</si>
  <si>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</si>
  <si>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</si>
  <si>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</si>
  <si>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</si>
  <si>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</si>
  <si>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</si>
  <si>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</si>
  <si>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</si>
  <si>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</si>
  <si>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</si>
  <si>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</si>
  <si>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</si>
  <si>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</si>
  <si>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</si>
  <si>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</si>
  <si>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</si>
  <si>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</si>
  <si>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</si>
  <si>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</si>
  <si>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</si>
  <si>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</si>
  <si>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</si>
  <si>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</si>
  <si>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</si>
  <si>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</si>
  <si>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</si>
  <si>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</si>
  <si>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</si>
  <si>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</si>
  <si>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</si>
  <si>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</si>
  <si>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</si>
  <si>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</si>
  <si>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</si>
  <si>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</si>
  <si>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</si>
  <si>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</si>
  <si>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</si>
  <si>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</si>
  <si>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</si>
  <si>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</si>
  <si>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</si>
  <si>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</si>
  <si>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</si>
  <si>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</si>
  <si>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</si>
  <si>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</si>
  <si>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</si>
  <si>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</si>
  <si>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</si>
  <si>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</si>
  <si>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</si>
  <si>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</si>
  <si>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</si>
  <si>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</si>
  <si>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</si>
  <si>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</si>
  <si>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</si>
  <si>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</si>
  <si>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</si>
  <si>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</si>
  <si>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</si>
  <si>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</si>
  <si>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</si>
  <si>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</si>
  <si>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</si>
  <si>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</si>
  <si>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</si>
  <si>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</si>
  <si>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</si>
  <si>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</si>
  <si>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</si>
  <si>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</si>
  <si>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</si>
  <si>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</si>
  <si>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</si>
  <si>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</si>
  <si>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</si>
  <si>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</si>
  <si>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</si>
  <si>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</si>
  <si>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</si>
  <si>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</si>
  <si>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</si>
  <si>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</si>
  <si>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</si>
  <si>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</si>
  <si>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</si>
  <si>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</si>
  <si>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</si>
  <si>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</si>
  <si>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</si>
  <si>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</si>
  <si>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</si>
  <si>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</si>
  <si>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</si>
  <si>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</si>
  <si>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</si>
  <si>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</si>
  <si>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</si>
  <si>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</si>
  <si>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</si>
  <si>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</si>
  <si>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</si>
  <si>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</si>
  <si>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</si>
  <si>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</si>
  <si>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</si>
  <si>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</si>
  <si>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</si>
  <si>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</si>
  <si>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</si>
  <si>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</si>
  <si>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</si>
  <si>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</si>
  <si>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</si>
  <si>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</si>
  <si>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</si>
  <si>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</si>
  <si>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</si>
  <si>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</si>
  <si>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</si>
  <si>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</si>
  <si>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</si>
  <si>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</si>
  <si>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</si>
  <si>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</si>
  <si>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</si>
  <si>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</si>
  <si>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</si>
  <si>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</si>
  <si>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</si>
  <si>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</si>
  <si>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</si>
  <si>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</si>
  <si>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</si>
  <si>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</si>
  <si>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</si>
  <si>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</si>
  <si>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</si>
  <si>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</si>
  <si>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</si>
  <si>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</si>
  <si>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</si>
  <si>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</si>
  <si>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</si>
  <si>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</si>
  <si>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</si>
  <si>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</si>
  <si>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</si>
  <si>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</si>
  <si>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</si>
  <si>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</si>
  <si>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</si>
  <si>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</si>
  <si>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</si>
  <si>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</si>
  <si>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</si>
  <si>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</si>
  <si>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</si>
  <si>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</si>
  <si>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</si>
  <si>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</si>
  <si>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</si>
  <si>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</si>
  <si>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</si>
  <si>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</si>
  <si>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</si>
  <si>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</si>
  <si>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</si>
  <si>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</si>
  <si>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</si>
  <si>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</si>
  <si>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</si>
  <si>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</si>
  <si>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</si>
  <si>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</si>
  <si>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</si>
  <si>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</si>
  <si>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</si>
  <si>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</si>
  <si>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</si>
  <si>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</si>
  <si>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</si>
  <si>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</si>
  <si>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</si>
  <si>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</si>
  <si>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</si>
  <si>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</si>
  <si>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</si>
  <si>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</si>
  <si>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</si>
  <si>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</si>
  <si>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</si>
  <si>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</si>
  <si>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</si>
  <si>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</si>
  <si>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</si>
  <si>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</si>
  <si>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</si>
  <si>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</si>
  <si>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</si>
  <si>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</si>
  <si>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</si>
  <si>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</si>
  <si>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</si>
  <si>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</si>
  <si>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</si>
  <si>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</si>
  <si>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</si>
  <si>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</si>
  <si>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</si>
  <si>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</si>
  <si>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</si>
  <si>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</si>
  <si>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</si>
  <si>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</si>
  <si>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</si>
  <si>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</si>
  <si>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</si>
  <si>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</si>
  <si>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</si>
  <si>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</si>
  <si>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</si>
  <si>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</si>
  <si>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</si>
  <si>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</si>
  <si>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</si>
  <si>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</si>
  <si>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</si>
  <si>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</si>
  <si>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</si>
  <si>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</si>
  <si>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</si>
  <si>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</si>
  <si>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</si>
  <si>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</si>
  <si>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</si>
  <si>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</si>
  <si>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</si>
  <si>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</si>
  <si>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</si>
  <si>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</si>
  <si>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</si>
  <si>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</si>
  <si>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</si>
  <si>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</si>
  <si>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</si>
  <si>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</si>
  <si>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</si>
  <si>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</si>
  <si>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</si>
  <si>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</si>
  <si>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</si>
  <si>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</si>
  <si>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</si>
  <si>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</si>
  <si>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</si>
  <si>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</si>
  <si>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</si>
  <si>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</si>
  <si>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</si>
  <si>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</si>
  <si>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</si>
  <si>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</si>
  <si>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</si>
  <si>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</si>
  <si>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</si>
  <si>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</si>
  <si>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</si>
  <si>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</si>
  <si>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</si>
  <si>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</si>
  <si>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</si>
  <si>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</si>
  <si>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</si>
  <si>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</si>
  <si>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</si>
  <si>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</si>
  <si>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</si>
  <si>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</si>
  <si>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</si>
  <si>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</si>
  <si>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</si>
  <si>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</si>
  <si>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</si>
  <si>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</si>
  <si>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</si>
  <si>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</si>
  <si>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</si>
  <si>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</si>
  <si>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</si>
  <si>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</si>
  <si>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</si>
  <si>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</si>
  <si>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</si>
  <si>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</si>
  <si>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</si>
  <si>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</si>
  <si>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</si>
  <si>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</si>
  <si>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</si>
  <si>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</si>
  <si>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</si>
  <si>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</si>
  <si>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</si>
  <si>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</si>
  <si>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</si>
  <si>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</si>
  <si>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</si>
  <si>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</si>
  <si>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</si>
  <si>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</si>
  <si>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</si>
  <si>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</si>
  <si>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</si>
  <si>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</si>
  <si>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</si>
  <si>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</si>
  <si>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</si>
  <si>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</si>
  <si>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</si>
  <si>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</si>
  <si>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</si>
  <si>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</si>
  <si>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</si>
  <si>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</si>
  <si>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</si>
  <si>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</si>
  <si>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</si>
  <si>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</si>
  <si>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</si>
  <si>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</si>
  <si>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</si>
  <si>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</si>
  <si>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</si>
  <si>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</si>
  <si>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</si>
  <si>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</si>
  <si>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</si>
  <si>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</si>
  <si>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</si>
  <si>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</si>
  <si>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</si>
  <si>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</si>
  <si>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</si>
  <si>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</si>
  <si>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</si>
  <si>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</si>
  <si>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</si>
  <si>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</si>
  <si>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</si>
  <si>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</si>
  <si>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</si>
  <si>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</si>
  <si>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</si>
  <si>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</si>
  <si>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</si>
  <si>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</si>
  <si>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</si>
  <si>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</si>
  <si>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</si>
  <si>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</si>
  <si>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</si>
  <si>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</si>
  <si>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</si>
  <si>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</si>
  <si>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</si>
  <si>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</si>
  <si>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</si>
  <si>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</si>
  <si>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</si>
  <si>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</si>
  <si>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</si>
  <si>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</si>
  <si>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</si>
  <si>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</si>
  <si>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</si>
  <si>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</si>
  <si>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</si>
  <si>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</si>
  <si>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</si>
  <si>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</si>
  <si>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</si>
  <si>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</si>
  <si>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</si>
  <si>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</si>
  <si>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</si>
  <si>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</si>
  <si>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</si>
  <si>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</si>
  <si>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</si>
  <si>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</si>
  <si>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</si>
  <si>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</si>
  <si>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</si>
  <si>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</si>
  <si>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</si>
  <si>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</si>
  <si>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</si>
  <si>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</si>
  <si>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</si>
  <si>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</si>
  <si>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</si>
  <si>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</si>
  <si>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</si>
  <si>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</si>
  <si>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</si>
  <si>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</si>
  <si>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</si>
  <si>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</si>
  <si>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</si>
  <si>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</si>
  <si>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</si>
  <si>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</si>
  <si>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</si>
  <si>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</si>
  <si>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</si>
  <si>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</si>
  <si>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</si>
  <si>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</si>
  <si>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</si>
  <si>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</si>
  <si>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</si>
  <si>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</si>
  <si>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</si>
  <si>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</si>
  <si>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</si>
  <si>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</si>
  <si>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</si>
  <si>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</si>
  <si>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</si>
  <si>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</si>
  <si>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</si>
  <si>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</si>
  <si>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</si>
  <si>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</si>
  <si>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</si>
  <si>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</si>
  <si>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</si>
  <si>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</si>
  <si>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</si>
  <si>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</si>
  <si>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</si>
  <si>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</si>
  <si>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</si>
  <si>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</si>
  <si>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</si>
  <si>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</si>
  <si>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</si>
  <si>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</si>
  <si>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</si>
  <si>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</si>
  <si>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</si>
  <si>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</si>
  <si>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</si>
  <si>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</si>
  <si>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</si>
  <si>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</si>
  <si>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</si>
  <si>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</si>
  <si>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</si>
  <si>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</si>
  <si>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</si>
  <si>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</si>
  <si>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</si>
  <si>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</si>
  <si>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</si>
  <si>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</si>
  <si>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</si>
  <si>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</si>
  <si>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</si>
  <si>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</si>
  <si>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</si>
  <si>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</si>
  <si>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</si>
  <si>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</si>
  <si>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</si>
  <si>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</si>
  <si>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</si>
  <si>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</si>
  <si>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</si>
  <si>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</si>
  <si>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</si>
  <si>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</si>
  <si>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</si>
  <si>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</si>
  <si>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</si>
  <si>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</si>
  <si>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</si>
  <si>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</si>
  <si>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</si>
  <si>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</si>
  <si>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</si>
  <si>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</si>
  <si>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</si>
  <si>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</si>
  <si>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</si>
  <si>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</si>
  <si>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</si>
  <si>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</si>
  <si>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</si>
  <si>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</si>
  <si>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</si>
  <si>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</si>
  <si>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</si>
  <si>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</si>
  <si>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</si>
  <si>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</si>
  <si>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</si>
  <si>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</si>
  <si>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</si>
  <si>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</si>
  <si>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</si>
  <si>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</si>
  <si>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</si>
  <si>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</si>
  <si>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</si>
  <si>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</si>
  <si>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</si>
  <si>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</si>
  <si>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</si>
  <si>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</si>
  <si>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</si>
  <si>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</si>
  <si>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</si>
  <si>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</si>
  <si>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</si>
  <si>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</si>
  <si>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</si>
  <si>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</si>
  <si>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</si>
  <si>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</si>
  <si>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</si>
  <si>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</si>
  <si>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</si>
  <si>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</si>
  <si>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</si>
  <si>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</si>
  <si>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</si>
  <si>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</si>
  <si>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</si>
  <si>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</si>
  <si>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</si>
  <si>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</si>
  <si>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</si>
  <si>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</si>
  <si>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</si>
  <si>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</si>
  <si>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</si>
  <si>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</si>
  <si>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</si>
  <si>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</si>
  <si>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</si>
  <si>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</si>
  <si>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</si>
  <si>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</si>
  <si>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</si>
  <si>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</si>
  <si>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</si>
  <si>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</si>
  <si>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</si>
  <si>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</si>
  <si>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</si>
  <si>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</si>
  <si>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</si>
  <si>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</si>
  <si>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</si>
  <si>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</si>
  <si>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</si>
  <si>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</si>
  <si>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</si>
  <si>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</si>
  <si>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</si>
  <si>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</si>
  <si>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</si>
  <si>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</si>
  <si>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</si>
  <si>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</si>
  <si>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</si>
  <si>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</si>
  <si>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</si>
  <si>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</si>
  <si>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</si>
  <si>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</si>
  <si>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</si>
  <si>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</si>
  <si>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</si>
  <si>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</si>
  <si>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</si>
  <si>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</si>
  <si>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</si>
  <si>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</si>
  <si>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</si>
  <si>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</si>
  <si>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</si>
  <si>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</si>
  <si>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</si>
  <si>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</si>
  <si>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</si>
  <si>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</si>
  <si>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</si>
  <si>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</si>
  <si>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</si>
  <si>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</si>
  <si>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</si>
  <si>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</si>
  <si>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</si>
  <si>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</si>
  <si>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</si>
  <si>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</si>
  <si>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</si>
  <si>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</si>
  <si>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</si>
  <si>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</si>
  <si>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</si>
  <si>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</si>
  <si>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</si>
  <si>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</si>
  <si>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</si>
  <si>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</si>
  <si>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</si>
  <si>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</si>
  <si>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</si>
  <si>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</si>
  <si>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</si>
  <si>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</si>
  <si>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</si>
  <si>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</si>
  <si>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</si>
  <si>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</si>
  <si>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</si>
  <si>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</si>
  <si>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</si>
  <si>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</si>
  <si>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</si>
  <si>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</si>
  <si>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</si>
  <si>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</si>
  <si>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</si>
  <si>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</si>
  <si>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</si>
  <si>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</si>
  <si>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</si>
  <si>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</si>
  <si>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</si>
  <si>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</si>
  <si>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</si>
  <si>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</si>
  <si>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</si>
  <si>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</si>
  <si>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</si>
  <si>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</si>
  <si>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</si>
  <si>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</si>
  <si>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</si>
  <si>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</si>
  <si>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</si>
  <si>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</si>
  <si>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</si>
  <si>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</si>
  <si>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</si>
  <si>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</si>
  <si>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</si>
  <si>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</si>
  <si>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</si>
  <si>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</si>
  <si>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</si>
  <si>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</si>
  <si>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</si>
  <si>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</si>
  <si>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</si>
  <si>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</si>
  <si>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</si>
  <si>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</si>
  <si>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</si>
  <si>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</si>
  <si>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</si>
  <si>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</si>
  <si>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</si>
  <si>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</si>
  <si>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</si>
  <si>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</si>
  <si>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</si>
  <si>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</si>
  <si>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</si>
  <si>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</si>
  <si>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</si>
  <si>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</si>
  <si>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</si>
  <si>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</si>
  <si>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</si>
  <si>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</si>
  <si>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</si>
  <si>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</si>
  <si>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</si>
  <si>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</si>
  <si>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</si>
  <si>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</si>
  <si>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</si>
  <si>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</si>
  <si>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</si>
  <si>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</si>
  <si>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</si>
  <si>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</si>
  <si>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</si>
  <si>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</si>
  <si>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</si>
  <si>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</si>
  <si>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</si>
  <si>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</si>
  <si>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</si>
  <si>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</si>
  <si>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</si>
  <si>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</si>
  <si>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</si>
  <si>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</si>
  <si>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</si>
  <si>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</si>
  <si>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</si>
  <si>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</si>
  <si>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</si>
  <si>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</si>
  <si>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</si>
  <si>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</si>
  <si>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</si>
  <si>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</si>
  <si>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</si>
  <si>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</si>
  <si>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</si>
  <si>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</si>
  <si>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</si>
  <si>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</si>
  <si>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</si>
  <si>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</si>
  <si>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</si>
  <si>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</si>
  <si>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</si>
  <si>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</si>
  <si>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</si>
  <si>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</si>
  <si>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</si>
  <si>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</si>
  <si>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</si>
  <si>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</si>
  <si>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</si>
  <si>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</si>
  <si>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</si>
  <si>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</si>
  <si>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</si>
  <si>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</si>
  <si>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</si>
  <si>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</si>
  <si>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</si>
  <si>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</si>
  <si>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</si>
  <si>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</si>
  <si>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</si>
  <si>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</si>
  <si>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</si>
  <si>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</si>
  <si>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</si>
  <si>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</si>
  <si>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</si>
  <si>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</si>
  <si>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</si>
  <si>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</si>
  <si>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</si>
  <si>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</si>
  <si>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</si>
  <si>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</si>
  <si>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</si>
  <si>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</si>
  <si>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</si>
  <si>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</si>
  <si>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</si>
  <si>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</si>
  <si>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</si>
  <si>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</si>
  <si>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</si>
  <si>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</si>
  <si>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</si>
  <si>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</si>
  <si>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</si>
  <si>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</si>
  <si>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</si>
  <si>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</si>
  <si>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</si>
  <si>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</si>
  <si>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</si>
  <si>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</si>
  <si>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</si>
  <si>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</si>
  <si>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</si>
  <si>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</si>
  <si>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</si>
  <si>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</si>
  <si>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</si>
  <si>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</si>
  <si>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</si>
  <si>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</si>
  <si>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</si>
  <si>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</si>
  <si>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</si>
  <si>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</si>
  <si>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</si>
  <si>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</si>
  <si>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</si>
  <si>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</si>
  <si>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</si>
  <si>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</si>
  <si>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</si>
  <si>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</si>
  <si>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</si>
  <si>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</si>
  <si>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</si>
  <si>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</si>
  <si>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</si>
  <si>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</si>
  <si>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</si>
  <si>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</si>
  <si>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</si>
  <si>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</si>
  <si>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</si>
  <si>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</si>
  <si>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</si>
  <si>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</si>
  <si>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</si>
  <si>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</si>
  <si>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</si>
  <si>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</si>
  <si>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</si>
  <si>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</si>
  <si>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</si>
  <si>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</si>
  <si>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</si>
  <si>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</si>
  <si>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</si>
  <si>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</si>
  <si>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</si>
  <si>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</si>
  <si>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</si>
  <si>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</si>
  <si>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</si>
  <si>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</si>
  <si>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</si>
  <si>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</si>
  <si>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</si>
  <si>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</si>
  <si>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</si>
  <si>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</si>
  <si>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</si>
  <si>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</si>
  <si>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</si>
  <si>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</si>
  <si>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</si>
  <si>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</si>
  <si>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</si>
  <si>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</si>
  <si>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</si>
  <si>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</si>
  <si>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</si>
  <si>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</si>
  <si>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</si>
  <si>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</si>
  <si>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</si>
  <si>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</si>
  <si>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</si>
  <si>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</si>
  <si>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</si>
  <si>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</si>
  <si>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</si>
  <si>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</si>
  <si>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</si>
  <si>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</si>
  <si>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</si>
  <si>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</si>
  <si>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</si>
  <si>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</si>
  <si>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</si>
  <si>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</si>
  <si>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</si>
  <si>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</si>
  <si>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</si>
  <si>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</si>
  <si>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</si>
  <si>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</si>
  <si>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</si>
  <si>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</si>
  <si>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</si>
  <si>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</si>
  <si>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</si>
  <si>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</si>
  <si>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</si>
  <si>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</si>
  <si>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</si>
  <si>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</si>
  <si>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</si>
  <si>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</si>
  <si>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</si>
  <si>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</si>
  <si>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</si>
  <si>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</si>
  <si>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</si>
  <si>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</si>
  <si>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</si>
  <si>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</si>
  <si>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</si>
  <si>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</si>
  <si>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</si>
  <si>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</si>
  <si>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</si>
  <si>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</si>
  <si>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</si>
  <si>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</si>
  <si>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</si>
  <si>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</si>
  <si>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</si>
  <si>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</si>
  <si>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</si>
  <si>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</si>
  <si>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</si>
  <si>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</si>
  <si>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</si>
  <si>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</si>
  <si>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</si>
  <si>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</si>
  <si>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</si>
  <si>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</si>
  <si>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</si>
  <si>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</si>
  <si>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</si>
  <si>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</si>
  <si>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</si>
  <si>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</si>
  <si>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</si>
  <si>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</si>
  <si>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</si>
  <si>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</si>
  <si>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</si>
  <si>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</si>
  <si>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</si>
  <si>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</si>
  <si>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</si>
  <si>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</si>
  <si>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</si>
  <si>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</si>
  <si>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</si>
  <si>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</si>
  <si>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</si>
  <si>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</si>
  <si>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</si>
  <si>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</si>
  <si>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</si>
  <si>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</si>
  <si>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</si>
  <si>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</si>
  <si>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</si>
  <si>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</si>
  <si>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</si>
  <si>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</si>
  <si>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</si>
  <si>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</si>
  <si>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</si>
  <si>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</si>
  <si>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</si>
  <si>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</si>
  <si>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</si>
  <si>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</si>
  <si>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</si>
  <si>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</si>
  <si>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</si>
  <si>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</si>
  <si>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</si>
  <si>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</si>
  <si>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</si>
  <si>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</si>
  <si>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</si>
  <si>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</si>
  <si>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</si>
  <si>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</si>
  <si>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</si>
  <si>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</si>
  <si>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</si>
  <si>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</si>
  <si>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</si>
  <si>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</si>
  <si>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</si>
  <si>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</si>
  <si>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</si>
  <si>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</si>
  <si>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</si>
  <si>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</si>
  <si>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</si>
  <si>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</si>
  <si>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</si>
  <si>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</si>
  <si>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</si>
  <si>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</si>
  <si>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</si>
  <si>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</si>
  <si>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</si>
  <si>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</si>
  <si>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</si>
  <si>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</si>
  <si>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</si>
  <si>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</si>
  <si>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</si>
  <si>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</si>
  <si>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</si>
  <si>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</si>
  <si>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</si>
  <si>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</si>
  <si>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</si>
  <si>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</si>
  <si>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</si>
  <si>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</si>
  <si>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</si>
  <si>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</si>
  <si>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</si>
  <si>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</si>
  <si>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</si>
  <si>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</si>
  <si>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</si>
  <si>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</si>
  <si>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</si>
  <si>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</si>
  <si>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</si>
  <si>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</si>
  <si>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</si>
  <si>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</si>
  <si>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</si>
  <si>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</si>
  <si>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</si>
  <si>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</si>
  <si>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</si>
  <si>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</si>
  <si>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</si>
  <si>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</si>
  <si>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</si>
  <si>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</si>
  <si>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</si>
  <si>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</si>
  <si>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</si>
  <si>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</si>
  <si>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</si>
  <si>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</si>
  <si>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</si>
  <si>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</si>
  <si>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</si>
  <si>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</si>
  <si>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</si>
  <si>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</si>
  <si>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</si>
  <si>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</si>
  <si>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</si>
  <si>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</si>
  <si>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</si>
  <si>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</si>
  <si>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</si>
  <si>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</si>
  <si>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</si>
  <si>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</si>
  <si>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</si>
  <si>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</si>
  <si>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</si>
  <si>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</si>
  <si>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</si>
  <si>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</si>
  <si>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</si>
  <si>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</si>
  <si>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</si>
  <si>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</si>
  <si>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</si>
  <si>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</si>
  <si>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</si>
  <si>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</si>
  <si>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</si>
  <si>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</si>
  <si>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</si>
  <si>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</si>
  <si>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</si>
  <si>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</si>
  <si>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</si>
  <si>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</si>
  <si>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</si>
  <si>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</si>
  <si>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</si>
  <si>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</si>
  <si>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</si>
  <si>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</si>
  <si>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</si>
  <si>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</si>
  <si>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</si>
  <si>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</si>
  <si>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</si>
  <si>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</si>
  <si>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</si>
  <si>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</si>
  <si>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</si>
  <si>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</si>
  <si>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</si>
  <si>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</si>
  <si>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</si>
  <si>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</si>
  <si>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</si>
  <si>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</si>
  <si>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</si>
  <si>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</si>
  <si>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</si>
  <si>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</si>
  <si>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</si>
  <si>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</si>
  <si>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</si>
  <si>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</si>
  <si>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</si>
  <si>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</si>
  <si>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</si>
  <si>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</si>
  <si>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</si>
  <si>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</si>
  <si>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</si>
  <si>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</si>
  <si>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</si>
  <si>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</si>
  <si>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</si>
  <si>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</si>
  <si>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</si>
  <si>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</si>
  <si>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</si>
  <si>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</si>
  <si>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</si>
  <si>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</si>
  <si>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</si>
  <si>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</si>
  <si>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</si>
  <si>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</si>
  <si>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</si>
  <si>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</si>
  <si>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</si>
  <si>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</si>
  <si>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</si>
  <si>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</si>
  <si>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</si>
  <si>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</si>
  <si>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</si>
  <si>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</si>
  <si>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</si>
  <si>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</si>
  <si>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</si>
  <si>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</si>
  <si>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</si>
  <si>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</si>
  <si>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</si>
  <si>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</si>
  <si>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</si>
  <si>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</si>
  <si>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</si>
  <si>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</si>
  <si>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</si>
  <si>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</si>
  <si>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</si>
  <si>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</si>
  <si>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</si>
  <si>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</si>
  <si>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</si>
  <si>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</si>
  <si>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</si>
  <si>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</si>
  <si>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</si>
  <si>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</si>
  <si>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</si>
  <si>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</si>
  <si>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</si>
  <si>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</si>
  <si>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</si>
  <si>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</si>
  <si>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</si>
  <si>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</si>
  <si>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</si>
  <si>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</si>
  <si>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</si>
  <si>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</si>
  <si>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</si>
  <si>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</si>
  <si>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</si>
  <si>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</si>
  <si>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</si>
  <si>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</si>
  <si>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</si>
  <si>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</si>
  <si>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</si>
  <si>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</si>
  <si>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</si>
  <si>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</si>
  <si>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</si>
  <si>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</si>
  <si>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</si>
  <si>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</si>
  <si>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</si>
  <si>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</si>
  <si>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</si>
  <si>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</si>
  <si>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</si>
  <si>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</si>
  <si>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</si>
  <si>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</si>
  <si>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</si>
  <si>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</si>
  <si>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</si>
  <si>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</si>
  <si>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</si>
  <si>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</si>
  <si>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</si>
  <si>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</si>
  <si>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</si>
  <si>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</si>
  <si>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</si>
  <si>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</si>
  <si>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</si>
  <si>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</si>
  <si>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</si>
  <si>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</si>
  <si>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</si>
  <si>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</si>
  <si>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</si>
  <si>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</si>
  <si>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</si>
  <si>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</si>
  <si>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</si>
  <si>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</si>
  <si>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</si>
  <si>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</si>
  <si>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</si>
  <si>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</si>
  <si>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</si>
  <si>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</si>
  <si>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</si>
  <si>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</si>
  <si>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</si>
  <si>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</si>
  <si>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</si>
  <si>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</si>
  <si>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</si>
  <si>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</si>
  <si>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</si>
  <si>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</si>
  <si>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</si>
  <si>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</si>
  <si>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</si>
  <si>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</si>
  <si>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</si>
  <si>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</si>
  <si>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</si>
  <si>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</si>
  <si>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</si>
  <si>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</si>
  <si>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</si>
  <si>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</si>
  <si>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</si>
  <si>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</si>
  <si>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</si>
  <si>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</si>
  <si>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</si>
  <si>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</si>
  <si>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</si>
  <si>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</si>
  <si>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</si>
  <si>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</si>
  <si>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</si>
  <si>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</si>
  <si>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</si>
  <si>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</si>
  <si>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</si>
  <si>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</si>
  <si>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</si>
  <si>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</si>
  <si>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</si>
  <si>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</si>
  <si>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</si>
  <si>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</si>
  <si>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</si>
  <si>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</si>
  <si>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</si>
  <si>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</si>
  <si>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</si>
  <si>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</si>
  <si>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</si>
  <si>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</si>
  <si>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</si>
  <si>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</si>
  <si>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</si>
  <si>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</si>
  <si>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</si>
  <si>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</si>
  <si>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</si>
  <si>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</si>
  <si>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</si>
  <si>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</si>
  <si>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</si>
  <si>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</si>
  <si>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</si>
  <si>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</si>
  <si>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</si>
  <si>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</si>
  <si>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</si>
  <si>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</si>
  <si>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</si>
  <si>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</si>
  <si>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</si>
  <si>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</si>
  <si>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</si>
  <si>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</si>
  <si>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</si>
  <si>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</si>
  <si>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</si>
  <si>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</si>
  <si>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</si>
  <si>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</si>
  <si>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</si>
  <si>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</si>
  <si>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</si>
  <si>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</si>
  <si>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</si>
  <si>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</si>
  <si>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</si>
  <si>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</si>
  <si>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</si>
  <si>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</si>
  <si>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</si>
  <si>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</si>
  <si>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</si>
  <si>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</si>
  <si>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</si>
  <si>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</si>
  <si>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</si>
  <si>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</si>
  <si>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</si>
  <si>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</si>
  <si>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</si>
  <si>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</si>
  <si>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</si>
  <si>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</si>
  <si>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</si>
  <si>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</si>
  <si>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</si>
  <si>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</si>
  <si>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</si>
  <si>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</si>
  <si>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</si>
  <si>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</si>
  <si>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</si>
  <si>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</si>
  <si>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</si>
  <si>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</si>
  <si>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</si>
  <si>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</si>
  <si>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</si>
  <si>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</si>
  <si>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</si>
  <si>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</si>
  <si>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</si>
  <si>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</si>
  <si>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</si>
  <si>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</si>
  <si>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</si>
  <si>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</si>
  <si>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</si>
  <si>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</si>
  <si>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</si>
  <si>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</si>
  <si>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</si>
  <si>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</si>
  <si>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</si>
  <si>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</si>
  <si>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</si>
  <si>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</si>
  <si>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</si>
  <si>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</si>
  <si>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</si>
  <si>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</si>
  <si>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</si>
  <si>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</si>
  <si>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</si>
  <si>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</si>
  <si>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</si>
  <si>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</si>
  <si>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</si>
  <si>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</si>
  <si>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</si>
  <si>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</si>
  <si>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</si>
  <si>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</si>
  <si>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</si>
  <si>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</si>
  <si>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</si>
  <si>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</si>
  <si>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</si>
  <si>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</si>
  <si>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</si>
  <si>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</si>
  <si>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</si>
  <si>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</si>
  <si>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</si>
  <si>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</si>
  <si>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</si>
  <si>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</si>
  <si>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</si>
  <si>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</si>
  <si>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</si>
  <si>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</si>
  <si>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</si>
  <si>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</si>
  <si>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</si>
  <si>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</si>
  <si>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</si>
  <si>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</si>
  <si>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</si>
  <si>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</si>
  <si>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</si>
  <si>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</si>
  <si>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</si>
  <si>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</si>
  <si>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</si>
  <si>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</si>
  <si>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</si>
  <si>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</si>
  <si>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</si>
  <si>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</si>
  <si>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</si>
  <si>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</si>
  <si>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</si>
  <si>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</si>
  <si>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</si>
  <si>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</si>
  <si>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</si>
  <si>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</si>
  <si>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</si>
  <si>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</si>
  <si>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</si>
  <si>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</si>
  <si>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</si>
  <si>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</si>
  <si>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</si>
  <si>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</si>
  <si>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</si>
  <si>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</si>
  <si>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</si>
  <si>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</si>
  <si>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</si>
  <si>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</si>
  <si>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</si>
  <si>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</si>
  <si>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</si>
  <si>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</si>
  <si>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</si>
  <si>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</si>
  <si>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</si>
  <si>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</si>
  <si>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</si>
  <si>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</si>
  <si>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</si>
  <si>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</si>
  <si>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</si>
  <si>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</si>
  <si>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</si>
  <si>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</si>
  <si>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</si>
  <si>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</si>
  <si>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</si>
  <si>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</si>
  <si>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</si>
  <si>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</si>
  <si>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</si>
  <si>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</si>
  <si>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</si>
  <si>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</si>
  <si>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</si>
  <si>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</si>
  <si>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</si>
  <si>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</si>
  <si>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</si>
  <si>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</si>
  <si>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</si>
  <si>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</si>
  <si>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</si>
  <si>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</si>
  <si>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</si>
  <si>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</si>
  <si>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</si>
  <si>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</si>
  <si>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</si>
  <si>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</si>
  <si>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</si>
  <si>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</si>
  <si>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</si>
  <si>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</si>
  <si>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</si>
  <si>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</si>
  <si>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</si>
  <si>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</si>
  <si>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</si>
  <si>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</si>
  <si>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</si>
  <si>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</si>
  <si>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</si>
  <si>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</si>
  <si>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</si>
  <si>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</si>
  <si>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</si>
  <si>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</si>
  <si>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</si>
  <si>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</si>
  <si>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</si>
  <si>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</si>
  <si>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</si>
  <si>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</si>
  <si>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</si>
  <si>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</si>
  <si>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</si>
  <si>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</si>
  <si>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</si>
  <si>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</si>
  <si>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</si>
  <si>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</si>
  <si>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</si>
  <si>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</si>
  <si>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</si>
  <si>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</si>
  <si>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</si>
  <si>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</si>
  <si>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</si>
  <si>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</si>
  <si>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</si>
  <si>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</si>
  <si>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</si>
  <si>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</si>
  <si>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</si>
  <si>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</si>
  <si>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</si>
  <si>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</si>
  <si>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</si>
  <si>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</si>
  <si>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</si>
  <si>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</si>
  <si>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</si>
  <si>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</si>
  <si>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</si>
  <si>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</si>
  <si>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</si>
  <si>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</si>
  <si>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</si>
  <si>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</si>
  <si>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</si>
  <si>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</si>
  <si>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</si>
  <si>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</si>
  <si>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</si>
  <si>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</si>
  <si>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</si>
  <si>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</si>
  <si>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</si>
  <si>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</si>
  <si>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</si>
  <si>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</si>
  <si>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</si>
  <si>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</si>
  <si>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</si>
  <si>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</si>
  <si>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</si>
  <si>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</si>
  <si>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</si>
  <si>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</si>
  <si>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</si>
  <si>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</si>
  <si>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</si>
  <si>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</si>
  <si>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</si>
  <si>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</si>
  <si>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</si>
  <si>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</si>
  <si>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</si>
  <si>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</si>
  <si>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</si>
  <si>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</si>
  <si>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</si>
  <si>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</si>
  <si>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</si>
  <si>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</si>
  <si>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</si>
  <si>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</si>
  <si>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</si>
  <si>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</si>
  <si>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</si>
  <si>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</si>
  <si>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</si>
  <si>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</si>
  <si>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</si>
  <si>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</si>
  <si>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</si>
  <si>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</si>
  <si>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</si>
  <si>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</si>
  <si>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</si>
  <si>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</si>
  <si>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</si>
  <si>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</si>
  <si>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</si>
  <si>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</si>
  <si>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</si>
  <si>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</si>
  <si>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</si>
  <si>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</si>
  <si>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</si>
  <si>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</si>
  <si>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</si>
  <si>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</si>
  <si>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</si>
  <si>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</si>
  <si>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</si>
  <si>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</si>
  <si>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</si>
  <si>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</si>
  <si>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</si>
  <si>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</si>
  <si>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</si>
  <si>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</si>
  <si>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</si>
  <si>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</si>
  <si>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</si>
  <si>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</si>
  <si>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</si>
  <si>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</si>
  <si>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</si>
  <si>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</si>
  <si>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</si>
  <si>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</si>
  <si>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</si>
  <si>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</si>
  <si>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</si>
  <si>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</si>
  <si>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</si>
  <si>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</si>
  <si>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</si>
  <si>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</si>
  <si>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</si>
  <si>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</si>
  <si>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</si>
  <si>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</si>
  <si>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</si>
  <si>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</si>
  <si>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</si>
  <si>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</si>
  <si>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</si>
  <si>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</si>
  <si>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</si>
  <si>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</si>
  <si>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</si>
  <si>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</si>
  <si>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</si>
  <si>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</si>
  <si>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</si>
  <si>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</si>
  <si>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</si>
  <si>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</si>
  <si>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</si>
  <si>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</si>
  <si>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</si>
  <si>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</si>
  <si>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</si>
  <si>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</si>
  <si>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</si>
  <si>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</si>
  <si>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</si>
  <si>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</si>
  <si>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</si>
  <si>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</si>
  <si>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</si>
  <si>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</si>
  <si>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</si>
  <si>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</si>
  <si>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</si>
  <si>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</si>
  <si>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</si>
  <si>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</si>
  <si>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</si>
  <si>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</si>
  <si>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</si>
  <si>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</si>
  <si>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</si>
  <si>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</si>
  <si>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</si>
  <si>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</si>
  <si>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</si>
  <si>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</si>
  <si>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</si>
  <si>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</si>
  <si>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</si>
  <si>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</si>
  <si>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</si>
  <si>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</si>
  <si>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</si>
  <si>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</si>
  <si>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</si>
  <si>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</si>
  <si>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</si>
  <si>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</si>
  <si>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</si>
  <si>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</si>
  <si>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</si>
  <si>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</si>
  <si>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</si>
  <si>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</si>
  <si>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</si>
  <si>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</si>
  <si>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</si>
  <si>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</si>
  <si>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</si>
  <si>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</si>
  <si>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</si>
  <si>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</si>
  <si>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</si>
  <si>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</si>
  <si>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</si>
  <si>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</si>
  <si>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</si>
  <si>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</si>
  <si>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</si>
  <si>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</si>
  <si>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</si>
  <si>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</si>
  <si>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</si>
  <si>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</si>
  <si>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</si>
  <si>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</si>
  <si>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</si>
  <si>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</si>
  <si>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</si>
  <si>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</si>
  <si>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</si>
  <si>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</si>
  <si>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</si>
  <si>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</si>
  <si>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</si>
  <si>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</si>
  <si>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</si>
  <si>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</si>
  <si>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</si>
  <si>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</si>
  <si>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</si>
  <si>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</si>
  <si>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</si>
  <si>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</si>
  <si>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</si>
  <si>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</si>
  <si>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</si>
  <si>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</si>
  <si>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</si>
  <si>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</si>
  <si>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</si>
  <si>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</si>
  <si>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</si>
  <si>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</si>
  <si>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</si>
  <si>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</si>
  <si>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</si>
  <si>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</si>
  <si>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</si>
  <si>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</si>
  <si>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</si>
  <si>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</si>
  <si>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</si>
  <si>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</si>
  <si>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</si>
  <si>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</si>
  <si>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</si>
  <si>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</si>
  <si>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</si>
  <si>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</si>
  <si>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</si>
  <si>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</si>
  <si>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</si>
  <si>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</si>
  <si>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</si>
  <si>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</si>
  <si>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</si>
  <si>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</si>
  <si>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</si>
  <si>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</si>
  <si>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</si>
  <si>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</si>
  <si>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</si>
  <si>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</si>
  <si>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</si>
  <si>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</si>
  <si>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</si>
  <si>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</si>
  <si>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</si>
  <si>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</si>
  <si>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</si>
  <si>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</si>
  <si>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</si>
  <si>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</si>
  <si>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</si>
  <si>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</si>
  <si>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</si>
  <si>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</si>
  <si>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</si>
  <si>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</si>
  <si>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</si>
  <si>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</si>
  <si>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</si>
  <si>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</si>
  <si>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</si>
  <si>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</si>
  <si>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</si>
  <si>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</si>
  <si>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</si>
  <si>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</si>
  <si>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</si>
  <si>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</si>
  <si>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</si>
  <si>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</si>
  <si>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</si>
  <si>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</si>
  <si>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</si>
  <si>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</si>
  <si>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</si>
  <si>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</si>
  <si>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</si>
  <si>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</si>
  <si>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</si>
  <si>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</si>
  <si>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</si>
  <si>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</si>
  <si>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</si>
  <si>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</si>
  <si>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</si>
  <si>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</si>
  <si>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</si>
  <si>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</si>
  <si>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</si>
  <si>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</si>
  <si>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</si>
  <si>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</si>
  <si>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</si>
  <si>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</si>
  <si>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</si>
  <si>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</si>
  <si>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</si>
  <si>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</si>
  <si>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</si>
  <si>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</si>
  <si>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</si>
  <si>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</si>
  <si>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</si>
  <si>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</si>
  <si>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</si>
  <si>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</si>
  <si>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</si>
  <si>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</si>
  <si>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</si>
  <si>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</si>
  <si>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</si>
  <si>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</si>
  <si>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</si>
  <si>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</si>
  <si>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</si>
  <si>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</si>
  <si>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</si>
  <si>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</si>
  <si>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</si>
  <si>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</si>
  <si>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</si>
  <si>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</si>
  <si>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</si>
  <si>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</si>
  <si>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</si>
  <si>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</si>
  <si>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</si>
  <si>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</si>
  <si>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</si>
  <si>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</si>
  <si>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</si>
  <si>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</si>
  <si>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</si>
  <si>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</si>
  <si>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</si>
  <si>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</si>
  <si>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</si>
  <si>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</si>
  <si>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</si>
  <si>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</si>
  <si>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</si>
  <si>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</si>
  <si>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</si>
  <si>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</si>
  <si>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</si>
  <si>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</si>
  <si>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</si>
  <si>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</si>
  <si>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</si>
  <si>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</si>
  <si>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</si>
  <si>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</si>
  <si>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</si>
  <si>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</si>
  <si>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</si>
  <si>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</si>
  <si>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</si>
  <si>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</si>
  <si>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</si>
  <si>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</si>
  <si>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</si>
  <si>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</si>
  <si>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</si>
  <si>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</si>
  <si>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</si>
  <si>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</si>
  <si>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</si>
  <si>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</si>
  <si>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</si>
  <si>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</si>
  <si>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</si>
  <si>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</si>
  <si>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</si>
  <si>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</si>
  <si>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</si>
  <si>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</si>
  <si>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</si>
  <si>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</si>
  <si>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</si>
  <si>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</si>
  <si>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</si>
  <si>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</si>
  <si>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</si>
  <si>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</si>
  <si>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</si>
  <si>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</si>
  <si>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</si>
  <si>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</si>
  <si>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</si>
  <si>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</si>
  <si>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</si>
  <si>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</si>
  <si>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</si>
  <si>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</si>
  <si>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</si>
  <si>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</si>
  <si>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</si>
  <si>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</si>
  <si>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</si>
  <si>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</si>
  <si>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</si>
  <si>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</si>
  <si>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</si>
  <si>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</si>
  <si>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</si>
  <si>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</si>
  <si>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</si>
  <si>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</si>
  <si>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</si>
  <si>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</si>
  <si>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</si>
  <si>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</si>
  <si>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</si>
  <si>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</si>
  <si>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</si>
  <si>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</si>
  <si>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</si>
  <si>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</si>
  <si>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</si>
  <si>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</si>
  <si>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</si>
  <si>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</si>
  <si>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</si>
  <si>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</si>
  <si>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</si>
  <si>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</si>
  <si>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</si>
  <si>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</si>
  <si>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</si>
  <si>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</si>
  <si>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</si>
  <si>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</si>
  <si>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</si>
  <si>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</si>
  <si>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</si>
  <si>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</si>
  <si>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</si>
  <si>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</si>
  <si>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</si>
  <si>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</si>
  <si>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</si>
  <si>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</si>
  <si>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</si>
  <si>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</si>
  <si>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</si>
  <si>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</si>
  <si>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</si>
  <si>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</si>
  <si>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</si>
  <si>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</si>
  <si>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</si>
  <si>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</si>
  <si>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</si>
  <si>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</si>
  <si>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</si>
  <si>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</si>
  <si>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</si>
  <si>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</si>
  <si>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</si>
  <si>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</si>
  <si>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</si>
  <si>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</si>
  <si>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</si>
  <si>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</si>
  <si>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</si>
  <si>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</si>
  <si>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</si>
  <si>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</si>
  <si>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</si>
  <si>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</si>
  <si>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</si>
  <si>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</si>
  <si>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</si>
  <si>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</si>
  <si>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</si>
  <si>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</si>
  <si>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</si>
  <si>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</si>
  <si>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</si>
  <si>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</si>
  <si>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</si>
  <si>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</si>
  <si>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</si>
  <si>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</si>
  <si>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</si>
  <si>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</si>
  <si>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</si>
  <si>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</si>
  <si>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</si>
  <si>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</si>
  <si>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</si>
  <si>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</si>
  <si>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</si>
  <si>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</si>
  <si>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</si>
  <si>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</si>
  <si>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</si>
  <si>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</si>
  <si>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</si>
  <si>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</si>
  <si>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</si>
  <si>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</si>
  <si>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</si>
  <si>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</si>
  <si>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</si>
  <si>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</si>
  <si>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</si>
  <si>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</si>
  <si>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</si>
  <si>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</si>
  <si>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</si>
  <si>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</si>
  <si>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</si>
  <si>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</si>
  <si>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</si>
  <si>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</si>
  <si>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</si>
  <si>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</si>
  <si>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</si>
  <si>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</si>
  <si>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</si>
  <si>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</si>
  <si>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</si>
  <si>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</si>
  <si>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</si>
  <si>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</si>
  <si>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</si>
  <si>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</si>
  <si>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</si>
  <si>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</si>
  <si>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</si>
  <si>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</si>
  <si>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</si>
  <si>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</si>
  <si>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</si>
  <si>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</si>
  <si>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</si>
  <si>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</si>
  <si>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</si>
  <si>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</si>
  <si>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</si>
  <si>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</si>
  <si>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</si>
  <si>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</si>
  <si>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</si>
  <si>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</si>
  <si>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</si>
  <si>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</si>
  <si>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</si>
  <si>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</si>
  <si>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</si>
  <si>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</si>
  <si>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</si>
  <si>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</si>
  <si>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</si>
  <si>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</si>
  <si>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</si>
  <si>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</si>
  <si>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</si>
  <si>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</si>
  <si>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</si>
  <si>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</si>
  <si>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</si>
  <si>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</si>
  <si>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</si>
  <si>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</si>
  <si>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</si>
  <si>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</si>
  <si>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</si>
  <si>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</si>
  <si>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</si>
  <si>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</si>
  <si>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</si>
  <si>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</si>
  <si>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</si>
  <si>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</si>
  <si>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</si>
  <si>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</si>
  <si>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</si>
  <si>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</si>
  <si>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</si>
  <si>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</si>
  <si>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</si>
  <si>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</si>
  <si>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</si>
  <si>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</si>
  <si>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</si>
  <si>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</si>
  <si>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</si>
  <si>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</si>
  <si>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</si>
  <si>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</si>
  <si>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</si>
  <si>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</si>
  <si>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</si>
  <si>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</si>
  <si>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</si>
  <si>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</si>
  <si>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</si>
  <si>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</si>
  <si>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</si>
  <si>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</si>
  <si>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</si>
  <si>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</si>
  <si>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</si>
  <si>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</si>
  <si>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</si>
  <si>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</si>
  <si>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</si>
  <si>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</si>
  <si>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</si>
  <si>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</si>
  <si>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</si>
  <si>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</si>
  <si>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</si>
  <si>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</si>
  <si>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</si>
  <si>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</si>
  <si>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</si>
  <si>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</si>
  <si>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</si>
  <si>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</si>
  <si>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</si>
  <si>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</si>
  <si>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</si>
  <si>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</si>
  <si>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</si>
  <si>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</si>
  <si>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</si>
  <si>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</si>
  <si>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</si>
  <si>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</si>
  <si>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</si>
  <si>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</si>
  <si>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</si>
  <si>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</si>
  <si>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</si>
  <si>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</si>
  <si>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</si>
  <si>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</si>
  <si>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</si>
  <si>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</si>
  <si>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</si>
  <si>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</si>
  <si>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</si>
  <si>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</si>
  <si>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</si>
  <si>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</si>
  <si>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</si>
  <si>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</si>
  <si>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</si>
  <si>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</si>
  <si>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</si>
  <si>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</si>
  <si>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</si>
  <si>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</si>
  <si>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</si>
  <si>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</si>
  <si>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</si>
  <si>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</si>
  <si>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</si>
  <si>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</si>
  <si>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</si>
  <si>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</si>
  <si>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</si>
  <si>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</si>
  <si>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</si>
  <si>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</si>
  <si>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</si>
  <si>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</si>
  <si>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</si>
  <si>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</si>
  <si>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</si>
  <si>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</si>
  <si>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</si>
  <si>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</si>
  <si>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</si>
  <si>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</si>
  <si>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</si>
  <si>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</si>
  <si>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</si>
  <si>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</si>
  <si>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</si>
  <si>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</si>
  <si>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</si>
  <si>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</si>
  <si>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</si>
  <si>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</si>
  <si>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</si>
  <si>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</si>
  <si>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</si>
  <si>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</si>
  <si>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</si>
  <si>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</si>
  <si>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</si>
  <si>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</si>
  <si>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</si>
  <si>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</si>
  <si>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</si>
  <si>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</si>
  <si>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</si>
  <si>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</si>
  <si>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</si>
  <si>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</si>
  <si>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</si>
  <si>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</si>
  <si>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</si>
  <si>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</si>
  <si>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</si>
  <si>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</si>
  <si>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</si>
  <si>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</si>
  <si>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</si>
  <si>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</si>
  <si>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</si>
  <si>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</si>
  <si>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</si>
  <si>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</si>
  <si>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</si>
  <si>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</si>
  <si>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</si>
  <si>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</si>
  <si>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</si>
  <si>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</si>
  <si>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</si>
  <si>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</si>
  <si>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</si>
  <si>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</si>
  <si>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</si>
  <si>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</si>
  <si>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</si>
  <si>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</si>
  <si>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</si>
  <si>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</si>
  <si>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</si>
  <si>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</si>
  <si>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</si>
  <si>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</si>
  <si>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</si>
  <si>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</si>
  <si>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</si>
  <si>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</si>
  <si>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</si>
  <si>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</si>
  <si>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</si>
  <si>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</si>
  <si>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</si>
  <si>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</si>
  <si>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</si>
  <si>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</si>
  <si>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</si>
  <si>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</si>
  <si>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</si>
  <si>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</si>
  <si>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</si>
  <si>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</si>
  <si>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</si>
  <si>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</si>
  <si>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</si>
  <si>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</si>
  <si>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</si>
  <si>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</si>
  <si>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</si>
  <si>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</si>
  <si>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</si>
  <si>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</si>
  <si>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</si>
  <si>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</si>
  <si>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</si>
  <si>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</si>
  <si>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</si>
  <si>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</si>
  <si>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</si>
  <si>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</si>
  <si>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</si>
  <si>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</si>
  <si>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</si>
  <si>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</si>
  <si>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</si>
  <si>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</si>
  <si>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</si>
  <si>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</si>
  <si>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</si>
  <si>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</si>
  <si>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</si>
  <si>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</si>
  <si>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</si>
  <si>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</si>
  <si>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</si>
  <si>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</si>
  <si>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</si>
  <si>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</si>
  <si>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</si>
  <si>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</si>
  <si>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</si>
  <si>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</si>
  <si>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</si>
  <si>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</si>
  <si>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</si>
  <si>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</si>
  <si>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</si>
  <si>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</si>
  <si>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</si>
  <si>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</si>
  <si>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</si>
  <si>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</si>
  <si>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</si>
  <si>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</si>
  <si>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</si>
  <si>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</si>
  <si>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</si>
  <si>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</si>
  <si>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</si>
  <si>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</si>
  <si>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</si>
  <si>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</si>
  <si>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</si>
  <si>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</si>
  <si>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</si>
  <si>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</si>
  <si>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</si>
  <si>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</si>
  <si>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</si>
  <si>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</si>
  <si>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</si>
  <si>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</si>
  <si>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</si>
  <si>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</si>
  <si>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</si>
  <si>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</si>
  <si>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</si>
  <si>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</si>
  <si>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</si>
  <si>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</si>
  <si>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</si>
  <si>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</si>
  <si>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</si>
  <si>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</si>
  <si>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</si>
  <si>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</si>
  <si>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</si>
  <si>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</si>
  <si>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</si>
  <si>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</si>
  <si>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</si>
  <si>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</si>
  <si>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</si>
  <si>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</si>
  <si>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</si>
  <si>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</si>
  <si>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</si>
  <si>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</si>
  <si>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</si>
  <si>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</si>
  <si>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</si>
  <si>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</si>
  <si>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</si>
  <si>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</si>
  <si>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</si>
  <si>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</si>
  <si>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</si>
  <si>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</si>
  <si>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</si>
  <si>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</si>
  <si>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</si>
  <si>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</si>
  <si>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</si>
  <si>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</si>
  <si>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</si>
  <si>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</si>
  <si>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</si>
  <si>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</si>
  <si>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</si>
  <si>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</si>
  <si>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</si>
  <si>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</si>
  <si>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</si>
  <si>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</si>
  <si>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</si>
  <si>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</si>
  <si>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</si>
  <si>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</si>
  <si>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</si>
  <si>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</si>
  <si>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</si>
  <si>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</si>
  <si>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</si>
  <si>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</si>
  <si>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</si>
  <si>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</si>
  <si>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</si>
  <si>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</si>
  <si>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</si>
  <si>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</si>
  <si>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</si>
  <si>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</si>
  <si>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</si>
  <si>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</si>
  <si>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</si>
  <si>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</si>
  <si>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</si>
  <si>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</si>
  <si>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</si>
  <si>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</si>
  <si>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</si>
  <si>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</si>
  <si>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</si>
  <si>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</si>
  <si>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</si>
  <si>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</si>
  <si>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</si>
  <si>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</si>
  <si>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</si>
  <si>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</si>
  <si>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</si>
  <si>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</si>
  <si>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</si>
  <si>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</si>
  <si>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</si>
  <si>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</si>
  <si>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</si>
  <si>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</si>
  <si>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</si>
  <si>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</si>
  <si>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</si>
  <si>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</si>
  <si>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</si>
  <si>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</si>
  <si>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</si>
  <si>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</si>
  <si>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</si>
  <si>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</si>
  <si>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</si>
  <si>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</si>
  <si>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</si>
  <si>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</si>
  <si>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</si>
  <si>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</si>
  <si>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</si>
  <si>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</si>
  <si>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</si>
  <si>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</si>
  <si>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</si>
  <si>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</si>
  <si>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</si>
  <si>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</si>
  <si>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</si>
  <si>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</si>
  <si>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</si>
  <si>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</si>
  <si>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</si>
  <si>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</si>
  <si>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</si>
  <si>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</si>
  <si>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</si>
  <si>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</si>
  <si>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</si>
  <si>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</si>
  <si>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</si>
  <si>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</si>
  <si>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</si>
  <si>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</si>
  <si>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</si>
  <si>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</si>
  <si>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</si>
  <si>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</si>
  <si>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</si>
  <si>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</si>
  <si>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</si>
  <si>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</si>
  <si>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</si>
  <si>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</si>
  <si>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</si>
  <si>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</si>
  <si>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</si>
  <si>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</si>
  <si>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</si>
  <si>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</si>
  <si>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</si>
  <si>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</si>
  <si>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</si>
  <si>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</si>
  <si>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</si>
  <si>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</si>
  <si>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</si>
  <si>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</si>
  <si>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</si>
  <si>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</si>
  <si>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</si>
  <si>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</si>
  <si>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</si>
  <si>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</si>
  <si>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</si>
  <si>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</si>
  <si>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</si>
  <si>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</si>
  <si>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</si>
  <si>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</si>
  <si>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</si>
  <si>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</si>
  <si>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</si>
  <si>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</si>
  <si>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</si>
  <si>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</si>
  <si>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</si>
  <si>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</si>
  <si>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</si>
  <si>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</si>
  <si>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</si>
  <si>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</si>
  <si>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</si>
  <si>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</si>
  <si>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</si>
  <si>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</si>
  <si>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</si>
  <si>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</si>
  <si>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</si>
  <si>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</si>
  <si>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</si>
  <si>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</si>
  <si>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</si>
  <si>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</si>
  <si>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</si>
  <si>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</si>
  <si>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</si>
  <si>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</si>
  <si>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</si>
  <si>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</si>
  <si>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</si>
  <si>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</si>
  <si>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</si>
  <si>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</si>
  <si>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</si>
  <si>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</si>
  <si>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</si>
  <si>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</si>
  <si>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</si>
  <si>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</si>
  <si>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</si>
  <si>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</si>
  <si>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</si>
  <si>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</si>
  <si>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</si>
  <si>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</si>
  <si>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</si>
  <si>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</si>
  <si>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</si>
  <si>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</si>
  <si>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</si>
  <si>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</si>
  <si>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</si>
  <si>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</si>
  <si>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</si>
  <si>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</si>
  <si>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</si>
  <si>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</si>
  <si>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</si>
  <si>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</si>
  <si>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</si>
  <si>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</si>
  <si>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</si>
  <si>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</si>
  <si>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</si>
  <si>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</si>
  <si>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</si>
  <si>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</si>
  <si>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</si>
  <si>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</si>
  <si>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</si>
  <si>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</si>
  <si>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</si>
  <si>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</si>
  <si>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</si>
  <si>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</si>
  <si>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</si>
  <si>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</si>
  <si>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</si>
  <si>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</si>
  <si>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</si>
  <si>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</si>
  <si>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</si>
  <si>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</si>
  <si>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</si>
  <si>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</si>
  <si>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</si>
  <si>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</si>
  <si>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</si>
  <si>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</si>
  <si>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</si>
  <si>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</si>
  <si>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</si>
  <si>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</si>
  <si>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</si>
  <si>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</si>
  <si>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</si>
  <si>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</si>
  <si>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</si>
  <si>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</si>
  <si>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</si>
  <si>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</si>
  <si>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</si>
  <si>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</si>
  <si>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</si>
  <si>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</si>
  <si>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</si>
  <si>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</si>
  <si>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</si>
  <si>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</si>
  <si>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</si>
  <si>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</si>
  <si>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</si>
  <si>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</si>
  <si>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</si>
  <si>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</si>
  <si>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</si>
  <si>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</si>
  <si>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</si>
  <si>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</si>
  <si>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</si>
  <si>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</si>
  <si>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</si>
  <si>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</si>
  <si>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</si>
  <si>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</si>
  <si>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</si>
  <si>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</si>
  <si>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</si>
  <si>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</si>
  <si>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</si>
  <si>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</si>
  <si>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</si>
  <si>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</si>
  <si>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</si>
  <si>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</si>
  <si>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</si>
  <si>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</si>
  <si>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</si>
  <si>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</si>
  <si>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</si>
  <si>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</si>
  <si>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</si>
  <si>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</si>
  <si>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</si>
  <si>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</si>
  <si>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</si>
  <si>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</si>
  <si>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</si>
  <si>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</si>
  <si>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</si>
  <si>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</si>
  <si>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</si>
  <si>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</si>
  <si>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</si>
  <si>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</si>
  <si>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</si>
  <si>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</si>
  <si>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</si>
  <si>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</si>
  <si>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</si>
  <si>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</si>
  <si>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</si>
  <si>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</si>
  <si>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</si>
  <si>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</si>
  <si>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</si>
  <si>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</si>
  <si>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</si>
  <si>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</si>
  <si>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</si>
  <si>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</si>
  <si>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</si>
  <si>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</si>
  <si>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</si>
  <si>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</si>
  <si>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</si>
  <si>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</si>
  <si>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</si>
  <si>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</si>
  <si>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</si>
  <si>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</si>
  <si>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</si>
  <si>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</si>
  <si>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</si>
  <si>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</si>
  <si>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</si>
  <si>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</si>
  <si>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</si>
  <si>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</si>
  <si>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</si>
  <si>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</si>
  <si>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</si>
  <si>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</si>
  <si>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</si>
  <si>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</si>
  <si>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</si>
  <si>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</si>
  <si>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</si>
  <si>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</si>
  <si>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</si>
  <si>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</si>
  <si>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</si>
  <si>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</si>
  <si>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</si>
  <si>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</si>
  <si>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</si>
  <si>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</si>
  <si>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</si>
  <si>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</si>
  <si>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</si>
  <si>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</si>
  <si>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</si>
  <si>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</si>
  <si>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</si>
  <si>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</si>
  <si>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</si>
  <si>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</si>
  <si>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</si>
  <si>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</si>
  <si>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</si>
  <si>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</si>
  <si>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</si>
  <si>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</si>
  <si>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</si>
  <si>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</si>
  <si>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</si>
  <si>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</si>
  <si>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</si>
  <si>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</si>
  <si>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</si>
  <si>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</si>
  <si>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</si>
  <si>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</si>
  <si>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</si>
  <si>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</si>
  <si>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</si>
  <si>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</si>
  <si>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</si>
  <si>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</si>
  <si>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</si>
  <si>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</si>
  <si>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</si>
  <si>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</si>
  <si>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</si>
  <si>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</si>
  <si>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</si>
  <si>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</si>
  <si>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</si>
  <si>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</si>
  <si>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</si>
  <si>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</si>
  <si>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</si>
  <si>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</si>
  <si>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</si>
  <si>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</si>
  <si>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</si>
  <si>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</si>
  <si>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</si>
  <si>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</si>
  <si>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</si>
  <si>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</si>
  <si>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</si>
  <si>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</si>
  <si>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</si>
  <si>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</si>
  <si>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</si>
  <si>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</si>
  <si>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</si>
  <si>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</si>
  <si>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</si>
  <si>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</si>
  <si>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</si>
  <si>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</si>
  <si>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</si>
  <si>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</si>
  <si>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</si>
  <si>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</si>
  <si>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</si>
  <si>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</si>
  <si>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</si>
  <si>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</si>
  <si>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</si>
  <si>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</si>
  <si>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</si>
  <si>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</si>
  <si>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</si>
  <si>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</si>
  <si>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</si>
  <si>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</si>
  <si>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</si>
  <si>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</si>
  <si>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</si>
  <si>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</si>
  <si>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</si>
  <si>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</si>
  <si>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</si>
  <si>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</si>
  <si>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</si>
  <si>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</si>
  <si>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</si>
  <si>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</si>
  <si>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</si>
  <si>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</si>
  <si>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</si>
  <si>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</si>
  <si>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</si>
  <si>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</si>
  <si>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</si>
  <si>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</si>
  <si>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</si>
  <si>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</si>
  <si>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</si>
  <si>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</si>
  <si>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</si>
  <si>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</si>
  <si>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</si>
  <si>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</si>
  <si>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</si>
  <si>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</si>
  <si>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</si>
  <si>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</si>
  <si>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</si>
  <si>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</si>
  <si>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</si>
  <si>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</si>
  <si>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</si>
  <si>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</si>
  <si>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</si>
  <si>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</si>
  <si>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</si>
  <si>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</si>
  <si>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</si>
  <si>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</si>
  <si>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</si>
  <si>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</si>
  <si>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</si>
  <si>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</si>
  <si>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</si>
  <si>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</si>
  <si>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</si>
  <si>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</si>
  <si>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</si>
  <si>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</si>
  <si>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</si>
  <si>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</si>
  <si>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</si>
  <si>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</si>
  <si>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</si>
  <si>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</si>
  <si>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</si>
  <si>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</si>
  <si>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</si>
  <si>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</si>
  <si>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</si>
  <si>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</si>
  <si>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</si>
  <si>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</si>
  <si>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</si>
  <si>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</si>
  <si>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</si>
  <si>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</si>
  <si>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</si>
  <si>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</si>
  <si>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</si>
  <si>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</si>
  <si>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</si>
  <si>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</si>
  <si>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</si>
  <si>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</si>
  <si>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</si>
  <si>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</si>
  <si>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</si>
  <si>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</si>
  <si>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</si>
  <si>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</si>
  <si>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</si>
  <si>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</si>
  <si>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</si>
  <si>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</si>
  <si>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</si>
  <si>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</si>
  <si>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</si>
  <si>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</si>
  <si>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</si>
  <si>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</si>
  <si>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</si>
  <si>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</si>
  <si>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</si>
  <si>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</si>
  <si>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</si>
  <si>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</si>
  <si>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</si>
  <si>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</si>
  <si>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</si>
  <si>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</si>
  <si>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</si>
  <si>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</si>
  <si>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</si>
  <si>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</si>
  <si>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</si>
  <si>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</si>
  <si>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</si>
  <si>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</si>
  <si>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</si>
  <si>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</si>
  <si>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</si>
  <si>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</si>
  <si>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</si>
  <si>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</si>
  <si>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</si>
  <si>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</si>
  <si>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</si>
  <si>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</si>
  <si>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</si>
  <si>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</si>
  <si>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</si>
  <si>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</si>
  <si>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</si>
  <si>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</si>
  <si>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</si>
  <si>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</si>
  <si>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</si>
  <si>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</si>
  <si>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</si>
  <si>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</si>
  <si>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</si>
  <si>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</si>
  <si>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</si>
  <si>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</si>
  <si>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</si>
  <si>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</si>
  <si>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</si>
  <si>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</si>
  <si>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</si>
  <si>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</si>
  <si>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</si>
  <si>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</si>
  <si>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</si>
  <si>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</si>
  <si>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</si>
  <si>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</si>
  <si>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</si>
  <si>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</si>
  <si>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</si>
  <si>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</si>
  <si>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</si>
  <si>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</si>
  <si>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</si>
  <si>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</si>
  <si>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</si>
  <si>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</si>
  <si>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</si>
  <si>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</si>
  <si>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</si>
  <si>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</si>
  <si>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</si>
  <si>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</si>
  <si>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</si>
  <si>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</si>
  <si>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</si>
  <si>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</si>
  <si>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</si>
  <si>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</si>
  <si>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</si>
  <si>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</si>
  <si>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</si>
  <si>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</si>
  <si>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</si>
  <si>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</si>
  <si>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</si>
  <si>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</si>
  <si>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</si>
  <si>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</si>
  <si>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</si>
  <si>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</si>
  <si>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</si>
  <si>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</si>
  <si>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</si>
  <si>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</si>
  <si>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</si>
  <si>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</si>
  <si>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</si>
  <si>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</si>
  <si>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</si>
  <si>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</si>
  <si>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</si>
  <si>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</si>
  <si>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</si>
  <si>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</si>
  <si>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</si>
  <si>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</si>
  <si>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</si>
  <si>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</si>
  <si>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</si>
  <si>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</si>
  <si>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</si>
  <si>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</si>
  <si>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</si>
  <si>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</si>
  <si>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</si>
  <si>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</si>
  <si>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</si>
  <si>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</si>
  <si>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</si>
  <si>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</si>
  <si>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</si>
  <si>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</si>
  <si>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</si>
  <si>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</si>
  <si>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</si>
  <si>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</si>
  <si>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</si>
  <si>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</si>
  <si>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</si>
  <si>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</si>
  <si>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</si>
  <si>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</si>
  <si>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</si>
  <si>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</si>
  <si>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</si>
  <si>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</si>
  <si>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</si>
  <si>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</si>
  <si>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</si>
  <si>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</si>
  <si>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</si>
  <si>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</si>
  <si>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</si>
  <si>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</si>
  <si>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</si>
  <si>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</si>
  <si>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</si>
  <si>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</si>
  <si>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</si>
  <si>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</si>
  <si>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</si>
  <si>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</si>
  <si>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</si>
  <si>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</si>
  <si>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</si>
  <si>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</si>
  <si>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</si>
  <si>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</si>
  <si>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</si>
  <si>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</si>
  <si>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</si>
  <si>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</si>
  <si>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</si>
  <si>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</si>
  <si>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</si>
  <si>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</si>
  <si>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</si>
  <si>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</si>
  <si>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</si>
  <si>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</si>
  <si>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</si>
  <si>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</si>
  <si>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</si>
  <si>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</si>
  <si>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</si>
  <si>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</si>
  <si>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</si>
  <si>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</si>
  <si>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</si>
  <si>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</si>
  <si>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</si>
  <si>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</si>
  <si>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</si>
  <si>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</si>
  <si>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</si>
  <si>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</si>
  <si>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</si>
  <si>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</si>
  <si>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</si>
  <si>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</si>
  <si>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</si>
  <si>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</si>
  <si>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</si>
  <si>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</si>
  <si>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</si>
  <si>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</si>
  <si>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</si>
  <si>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</si>
  <si>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</si>
  <si>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</si>
  <si>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</si>
  <si>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</si>
  <si>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</si>
  <si>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</si>
  <si>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</si>
  <si>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</si>
  <si>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</si>
  <si>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</si>
  <si>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</si>
  <si>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</si>
  <si>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</si>
  <si>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</si>
  <si>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</si>
  <si>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</si>
  <si>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</si>
  <si>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</si>
  <si>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</si>
  <si>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</si>
  <si>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</si>
  <si>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</si>
  <si>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</si>
  <si>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</si>
  <si>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</si>
  <si>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</si>
  <si>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</si>
  <si>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</si>
  <si>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</si>
  <si>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</si>
  <si>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</si>
  <si>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</si>
  <si>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</si>
  <si>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</si>
  <si>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</si>
  <si>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</si>
  <si>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</si>
  <si>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</si>
  <si>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</si>
  <si>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</si>
  <si>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</si>
  <si>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</si>
  <si>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</si>
  <si>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</si>
  <si>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</si>
  <si>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</si>
  <si>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</si>
  <si>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</si>
  <si>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</si>
  <si>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</si>
  <si>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</si>
  <si>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</si>
  <si>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</si>
  <si>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</si>
  <si>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</si>
  <si>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</si>
  <si>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</si>
  <si>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</si>
  <si>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</si>
  <si>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</si>
  <si>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</si>
  <si>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</si>
  <si>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</si>
  <si>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</si>
  <si>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</si>
  <si>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</si>
  <si>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</si>
  <si>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</si>
  <si>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</si>
  <si>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</si>
  <si>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</si>
  <si>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</si>
  <si>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</si>
  <si>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</si>
  <si>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</si>
  <si>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</si>
  <si>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</si>
  <si>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</si>
  <si>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</si>
  <si>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</si>
  <si>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</si>
  <si>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</si>
  <si>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</si>
  <si>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</si>
  <si>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</si>
  <si>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</si>
  <si>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</si>
  <si>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</si>
  <si>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</si>
  <si>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</si>
  <si>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</si>
  <si>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</si>
  <si>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</si>
  <si>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</si>
  <si>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</si>
  <si>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</si>
  <si>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</si>
  <si>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</si>
  <si>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</si>
  <si>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</si>
  <si>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</si>
  <si>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</si>
  <si>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</si>
  <si>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</si>
  <si>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</si>
  <si>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</si>
  <si>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</si>
  <si>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</si>
  <si>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</si>
  <si>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</si>
  <si>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</si>
  <si>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</si>
  <si>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</si>
  <si>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</si>
  <si>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</si>
  <si>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</si>
  <si>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</si>
  <si>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</si>
  <si>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</si>
  <si>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</si>
  <si>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</si>
  <si>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</si>
  <si>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</si>
  <si>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</si>
  <si>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</si>
  <si>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</si>
  <si>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</si>
  <si>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</si>
  <si>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</si>
  <si>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</si>
  <si>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</si>
  <si>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</si>
  <si>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</si>
  <si>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</si>
  <si>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</si>
  <si>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</si>
  <si>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</si>
  <si>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</si>
  <si>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</si>
  <si>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</si>
  <si>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</si>
  <si>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</si>
  <si>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</si>
  <si>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</si>
  <si>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</si>
  <si>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</si>
  <si>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</si>
  <si>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</si>
  <si>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</si>
  <si>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</si>
  <si>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</si>
  <si>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</si>
  <si>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</si>
  <si>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</si>
  <si>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</si>
  <si>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</si>
  <si>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</si>
  <si>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</si>
  <si>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</si>
  <si>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</si>
  <si>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</si>
  <si>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</si>
  <si>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</si>
  <si>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</si>
  <si>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</si>
  <si>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</si>
  <si>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</si>
  <si>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</si>
  <si>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</si>
  <si>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</si>
  <si>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</si>
  <si>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</si>
  <si>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</si>
  <si>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</si>
  <si>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</si>
  <si>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</si>
  <si>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</si>
  <si>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</si>
  <si>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</si>
  <si>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</si>
  <si>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</si>
  <si>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</si>
  <si>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</si>
  <si>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</si>
  <si>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</si>
  <si>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</si>
  <si>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</si>
  <si>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</si>
  <si>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</si>
  <si>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</si>
  <si>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</si>
  <si>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</si>
  <si>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</si>
  <si>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</si>
  <si>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</si>
  <si>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</si>
  <si>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</si>
  <si>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</si>
  <si>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</si>
  <si>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</si>
  <si>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</si>
  <si>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</si>
  <si>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</si>
  <si>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</si>
  <si>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</si>
  <si>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</si>
  <si>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</si>
  <si>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</si>
  <si>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</si>
  <si>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</si>
  <si>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</si>
  <si>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</si>
  <si>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</si>
  <si>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</si>
  <si>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</si>
  <si>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</si>
  <si>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</si>
  <si>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</si>
  <si>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</si>
  <si>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</si>
  <si>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</si>
  <si>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</si>
  <si>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</si>
  <si>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</si>
  <si>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</si>
  <si>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</si>
  <si>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</si>
  <si>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</si>
  <si>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</si>
  <si>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</si>
  <si>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</si>
  <si>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</si>
  <si>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</si>
  <si>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</si>
  <si>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</si>
  <si>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</si>
  <si>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</si>
  <si>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</si>
  <si>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</si>
  <si>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</si>
  <si>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</si>
  <si>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</si>
  <si>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</si>
  <si>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</si>
  <si>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</si>
  <si>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</si>
  <si>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</si>
  <si>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</si>
  <si>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</si>
  <si>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</si>
  <si>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</si>
  <si>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</si>
  <si>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</si>
  <si>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</si>
  <si>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</si>
  <si>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</si>
  <si>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</si>
  <si>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</si>
  <si>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</si>
  <si>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</si>
  <si>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</si>
  <si>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</si>
  <si>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</si>
  <si>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</si>
  <si>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</si>
  <si>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</si>
  <si>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</si>
  <si>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</si>
  <si>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</si>
  <si>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</si>
  <si>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</si>
  <si>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</si>
  <si>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</si>
  <si>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</si>
  <si>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</si>
  <si>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</si>
  <si>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</si>
  <si>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</si>
  <si>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</si>
  <si>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</si>
  <si>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</si>
  <si>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</si>
  <si>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</si>
  <si>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</si>
  <si>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</si>
  <si>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</si>
  <si>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</si>
  <si>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</si>
  <si>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</si>
  <si>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</si>
  <si>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</si>
  <si>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</si>
  <si>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</si>
  <si>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</si>
  <si>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</si>
  <si>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</si>
  <si>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</si>
  <si>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</si>
  <si>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</si>
  <si>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</si>
  <si>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</si>
  <si>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</si>
  <si>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</si>
  <si>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</si>
  <si>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</si>
  <si>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</si>
  <si>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</si>
  <si>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</si>
  <si>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</si>
  <si>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</si>
  <si>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</si>
  <si>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</si>
  <si>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</si>
  <si>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</si>
  <si>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</si>
  <si>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</si>
  <si>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</si>
  <si>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</si>
  <si>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</si>
  <si>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</si>
  <si>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</si>
  <si>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</si>
  <si>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</si>
  <si>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</si>
  <si>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</si>
  <si>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</si>
  <si>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</si>
  <si>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</si>
  <si>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</si>
  <si>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</si>
  <si>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</si>
  <si>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</si>
  <si>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</si>
  <si>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</si>
  <si>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</si>
  <si>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</si>
  <si>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</si>
  <si>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</si>
  <si>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</si>
  <si>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</si>
  <si>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</si>
  <si>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</si>
  <si>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</si>
  <si>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</si>
  <si>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</si>
  <si>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</si>
  <si>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</si>
  <si>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</si>
  <si>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</si>
  <si>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</si>
  <si>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</si>
  <si>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</si>
  <si>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</si>
  <si>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</si>
  <si>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</si>
  <si>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</si>
  <si>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</si>
  <si>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</si>
  <si>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</si>
  <si>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</si>
  <si>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</si>
  <si>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</si>
  <si>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</si>
  <si>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</si>
  <si>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</si>
  <si>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</si>
  <si>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</si>
  <si>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</si>
  <si>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</si>
  <si>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</si>
  <si>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</si>
  <si>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</si>
  <si>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</si>
  <si>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</si>
  <si>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</si>
  <si>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</si>
  <si>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</si>
  <si>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</si>
  <si>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</si>
  <si>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</si>
  <si>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</si>
  <si>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</si>
  <si>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</si>
  <si>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</si>
  <si>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</si>
  <si>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</si>
  <si>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</si>
  <si>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</si>
  <si>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</si>
  <si>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</si>
  <si>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</si>
  <si>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</si>
  <si>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</si>
  <si>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</si>
  <si>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</si>
  <si>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</si>
  <si>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</si>
  <si>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</si>
  <si>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</si>
  <si>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</si>
  <si>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</si>
  <si>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</si>
  <si>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</si>
  <si>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</si>
  <si>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</si>
  <si>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</si>
  <si>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</si>
  <si>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</si>
  <si>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</si>
  <si>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</si>
  <si>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</si>
  <si>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</si>
  <si>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</si>
  <si>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</si>
  <si>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</si>
  <si>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</si>
  <si>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</si>
  <si>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</si>
  <si>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</si>
  <si>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</si>
  <si>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</si>
  <si>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</si>
  <si>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</si>
  <si>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</si>
  <si>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</si>
  <si>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</si>
  <si>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</si>
  <si>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</si>
  <si>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</si>
  <si>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</si>
  <si>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</si>
  <si>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</si>
  <si>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</si>
  <si>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</si>
  <si>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</si>
  <si>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</si>
  <si>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</si>
  <si>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</si>
  <si>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</si>
  <si>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</si>
  <si>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</si>
  <si>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</si>
  <si>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</si>
  <si>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</si>
  <si>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</si>
  <si>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</si>
  <si>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</si>
  <si>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</si>
  <si>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</si>
  <si>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</si>
  <si>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</si>
  <si>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</si>
  <si>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</si>
  <si>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</si>
  <si>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</si>
  <si>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</si>
  <si>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</si>
  <si>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</si>
  <si>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</si>
  <si>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</si>
  <si>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</si>
  <si>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</si>
  <si>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</si>
  <si>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</si>
  <si>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</si>
  <si>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</si>
  <si>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</si>
  <si>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</si>
  <si>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</si>
  <si>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</si>
  <si>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</si>
  <si>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</si>
  <si>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</si>
  <si>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</si>
  <si>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</si>
  <si>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</si>
  <si>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</si>
  <si>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</si>
  <si>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</si>
  <si>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</si>
  <si>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</si>
  <si>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</si>
  <si>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</si>
  <si>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</si>
  <si>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</si>
  <si>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</si>
  <si>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</si>
  <si>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</si>
  <si>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</si>
  <si>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</si>
  <si>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</si>
  <si>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</si>
  <si>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</si>
  <si>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</si>
  <si>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</si>
  <si>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</si>
  <si>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</si>
  <si>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</si>
  <si>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</si>
  <si>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</si>
  <si>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</si>
  <si>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</si>
  <si>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</si>
  <si>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</si>
  <si>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</si>
  <si>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</si>
  <si>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</si>
  <si>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</si>
  <si>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</si>
  <si>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</si>
  <si>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</si>
  <si>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</si>
  <si>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</si>
  <si>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</si>
  <si>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</si>
  <si>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</si>
  <si>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</si>
  <si>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</si>
  <si>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</si>
  <si>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</si>
  <si>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</si>
  <si>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</si>
  <si>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</si>
  <si>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</si>
  <si>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</si>
  <si>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</si>
  <si>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</si>
  <si>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</si>
  <si>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</si>
  <si>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</si>
  <si>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</si>
  <si>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</si>
  <si>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</si>
  <si>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</si>
  <si>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</si>
  <si>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</si>
  <si>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</si>
  <si>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</si>
  <si>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</si>
  <si>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</si>
  <si>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</si>
  <si>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</si>
  <si>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</si>
  <si>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</si>
  <si>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</si>
  <si>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</si>
  <si>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</si>
  <si>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</si>
  <si>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</si>
  <si>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</si>
  <si>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</si>
  <si>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</si>
  <si>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</si>
  <si>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</si>
  <si>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</si>
  <si>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</si>
  <si>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</si>
  <si>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</si>
  <si>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</si>
  <si>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</si>
  <si>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</si>
  <si>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</si>
  <si>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</si>
  <si>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</si>
  <si>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</si>
  <si>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</si>
  <si>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</si>
  <si>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</si>
  <si>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</si>
  <si>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</si>
  <si>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</si>
  <si>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</si>
  <si>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</si>
  <si>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</si>
  <si>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</si>
  <si>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</si>
  <si>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</si>
  <si>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</si>
  <si>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</si>
  <si>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</si>
  <si>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</si>
  <si>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</si>
  <si>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</si>
  <si>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</si>
  <si>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</si>
  <si>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</si>
  <si>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</si>
  <si>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</si>
  <si>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</si>
  <si>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</si>
  <si>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</si>
  <si>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</si>
  <si>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</si>
  <si>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</si>
  <si>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</si>
  <si>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</si>
  <si>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</si>
  <si>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</si>
  <si>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</si>
  <si>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</si>
  <si>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</si>
  <si>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</si>
  <si>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</si>
  <si>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</si>
  <si>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</si>
  <si>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</si>
  <si>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</si>
  <si>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</si>
  <si>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</si>
  <si>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</si>
  <si>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</si>
  <si>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</si>
  <si>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</si>
  <si>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</si>
  <si>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</si>
  <si>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</si>
  <si>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</si>
  <si>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</si>
  <si>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</si>
  <si>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</si>
  <si>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</si>
  <si>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</si>
  <si>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</si>
  <si>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</si>
  <si>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</si>
  <si>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</si>
  <si>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</si>
  <si>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</si>
  <si>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</si>
  <si>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</si>
  <si>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</si>
  <si>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</si>
  <si>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</si>
  <si>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</si>
  <si>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</si>
  <si>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</si>
  <si>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</si>
  <si>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</si>
  <si>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</si>
  <si>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</si>
  <si>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</si>
  <si>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</si>
  <si>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</si>
  <si>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</si>
  <si>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</si>
  <si>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</si>
  <si>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</si>
  <si>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</si>
  <si>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</si>
  <si>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</si>
  <si>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</si>
  <si>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</si>
  <si>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</si>
  <si>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</si>
  <si>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</si>
  <si>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</si>
  <si>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</si>
  <si>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</si>
  <si>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</si>
  <si>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</si>
  <si>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</si>
  <si>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</si>
  <si>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</si>
  <si>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</si>
  <si>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</si>
  <si>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</si>
  <si>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</si>
  <si>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</si>
  <si>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</si>
  <si>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</si>
  <si>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</si>
  <si>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</si>
  <si>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</si>
  <si>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</si>
  <si>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</si>
  <si>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</si>
  <si>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</si>
  <si>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</si>
  <si>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</si>
  <si>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</si>
  <si>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</si>
  <si>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</si>
  <si>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</si>
  <si>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</si>
  <si>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</si>
  <si>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</si>
  <si>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</si>
  <si>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</si>
  <si>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</si>
  <si>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</si>
  <si>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</si>
  <si>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</si>
  <si>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</si>
  <si>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</si>
  <si>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</si>
  <si>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</si>
  <si>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</si>
  <si>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</si>
  <si>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</si>
  <si>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</si>
  <si>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</si>
  <si>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</si>
  <si>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</si>
  <si>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</si>
  <si>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</si>
  <si>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</si>
  <si>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</si>
  <si>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</si>
  <si>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</si>
  <si>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</si>
  <si>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</si>
  <si>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</si>
  <si>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</si>
  <si>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</si>
  <si>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</si>
  <si>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</si>
  <si>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</si>
  <si>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</si>
  <si>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</si>
  <si>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</si>
  <si>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</si>
  <si>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</si>
  <si>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</si>
  <si>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</si>
  <si>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</si>
  <si>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</si>
  <si>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</si>
  <si>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</si>
  <si>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</si>
  <si>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</si>
  <si>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</si>
  <si>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</si>
  <si>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</si>
  <si>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</si>
  <si>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</si>
  <si>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</si>
  <si>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</si>
  <si>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</si>
  <si>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</si>
  <si>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</si>
  <si>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</si>
  <si>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</si>
  <si>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</si>
  <si>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</si>
  <si>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</si>
  <si>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</si>
  <si>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</si>
  <si>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</si>
  <si>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</si>
  <si>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</si>
  <si>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</si>
  <si>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</si>
  <si>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</si>
  <si>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</si>
  <si>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</si>
  <si>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</si>
  <si>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</si>
  <si>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</si>
  <si>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</si>
  <si>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</si>
  <si>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</si>
  <si>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</si>
  <si>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</si>
  <si>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</si>
  <si>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</si>
  <si>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</si>
  <si>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</si>
  <si>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</si>
  <si>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</si>
  <si>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</si>
  <si>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</si>
  <si>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</si>
  <si>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</si>
  <si>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</si>
  <si>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</si>
  <si>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</si>
  <si>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</si>
  <si>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</si>
  <si>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</si>
  <si>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</si>
  <si>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</si>
  <si>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</si>
  <si>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</si>
  <si>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</si>
  <si>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</si>
  <si>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</si>
  <si>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</si>
  <si>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</si>
  <si>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</si>
  <si>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</si>
  <si>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</si>
  <si>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</si>
  <si>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</si>
  <si>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</si>
  <si>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</si>
  <si>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</si>
  <si>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</si>
  <si>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</si>
  <si>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</si>
  <si>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</si>
  <si>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</si>
  <si>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</si>
  <si>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</si>
  <si>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</si>
  <si>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</si>
  <si>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</si>
  <si>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</si>
  <si>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</si>
  <si>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</si>
  <si>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</si>
  <si>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</si>
  <si>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</si>
  <si>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</si>
  <si>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</si>
  <si>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</si>
  <si>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</si>
  <si>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</si>
  <si>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</si>
  <si>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</si>
  <si>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</si>
  <si>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</si>
  <si>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</si>
  <si>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</si>
  <si>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</si>
  <si>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</si>
  <si>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</si>
  <si>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</si>
  <si>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</si>
  <si>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</si>
  <si>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</si>
  <si>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</si>
  <si>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</si>
  <si>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</si>
  <si>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</si>
  <si>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</si>
  <si>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</si>
  <si>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</si>
  <si>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</si>
  <si>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</si>
  <si>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</si>
  <si>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</si>
  <si>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</si>
  <si>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</si>
  <si>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</si>
  <si>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</si>
  <si>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</si>
  <si>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</si>
  <si>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</si>
  <si>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</si>
  <si>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</si>
  <si>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</si>
  <si>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</si>
  <si>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</si>
  <si>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</si>
  <si>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</si>
  <si>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</si>
  <si>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</si>
  <si>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</si>
  <si>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</si>
  <si>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</si>
  <si>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</si>
  <si>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</si>
  <si>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</si>
  <si>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</si>
  <si>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</si>
  <si>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</si>
  <si>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</si>
  <si>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</si>
  <si>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</si>
  <si>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</si>
  <si>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</si>
  <si>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</si>
  <si>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</si>
  <si>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</si>
  <si>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</si>
  <si>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</si>
  <si>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</si>
  <si>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</si>
  <si>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</si>
  <si>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</si>
  <si>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</si>
  <si>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</si>
  <si>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</si>
  <si>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</si>
  <si>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</si>
  <si>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</si>
  <si>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</si>
  <si>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</si>
  <si>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</si>
  <si>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</si>
  <si>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</si>
  <si>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</si>
  <si>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</si>
  <si>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</si>
  <si>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</si>
  <si>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</si>
  <si>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</si>
  <si>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</si>
  <si>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</si>
  <si>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</si>
  <si>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</si>
  <si>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</si>
  <si>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</si>
  <si>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</si>
  <si>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</si>
  <si>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</si>
  <si>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</si>
  <si>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</si>
  <si>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</si>
  <si>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</si>
  <si>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</si>
  <si>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</si>
  <si>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</si>
  <si>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</si>
  <si>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</si>
  <si>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</si>
  <si>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</si>
  <si>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</si>
  <si>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</si>
  <si>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</si>
  <si>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</si>
  <si>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</si>
  <si>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</si>
  <si>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</si>
  <si>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</si>
  <si>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</si>
  <si>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</si>
  <si>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</si>
  <si>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</si>
  <si>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</si>
  <si>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</si>
  <si>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</si>
  <si>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</si>
  <si>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</si>
  <si>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</si>
  <si>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</si>
  <si>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</si>
  <si>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</si>
  <si>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</si>
  <si>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</si>
  <si>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</si>
  <si>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</si>
  <si>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</si>
  <si>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</si>
  <si>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</si>
  <si>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</si>
  <si>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</si>
  <si>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</si>
  <si>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</si>
  <si>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</si>
  <si>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</si>
  <si>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</si>
  <si>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</si>
  <si>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</si>
  <si>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</si>
  <si>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</si>
  <si>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</si>
  <si>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</si>
  <si>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</si>
  <si>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</si>
  <si>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</si>
  <si>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</si>
  <si>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</si>
  <si>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</si>
  <si>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</si>
  <si>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</si>
  <si>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</si>
  <si>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</si>
  <si>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</si>
  <si>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</si>
  <si>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</si>
  <si>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</si>
  <si>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</si>
  <si>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</si>
  <si>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</si>
  <si>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</si>
  <si>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</si>
  <si>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</si>
  <si>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</si>
  <si>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</si>
  <si>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</si>
  <si>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</si>
  <si>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</si>
  <si>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</si>
  <si>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</si>
  <si>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</si>
  <si>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</si>
  <si>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</si>
  <si>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</si>
  <si>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</si>
  <si>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</si>
  <si>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</si>
  <si>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</si>
  <si>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</si>
  <si>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</si>
  <si>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</si>
  <si>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</si>
  <si>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</si>
  <si>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</si>
  <si>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</si>
  <si>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</si>
  <si>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</si>
  <si>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</si>
  <si>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</si>
  <si>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</si>
  <si>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</si>
  <si>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</si>
  <si>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</si>
  <si>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</si>
  <si>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</si>
  <si>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</si>
  <si>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</si>
  <si>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</si>
  <si>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</si>
  <si>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</si>
  <si>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</si>
  <si>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</si>
  <si>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</si>
  <si>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</si>
  <si>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</si>
  <si>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</si>
  <si>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</si>
  <si>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</si>
  <si>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</si>
  <si>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</si>
  <si>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</si>
  <si>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</si>
  <si>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</si>
  <si>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</si>
  <si>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</si>
  <si>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</si>
  <si>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</si>
  <si>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</si>
  <si>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</si>
  <si>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</si>
  <si>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</si>
  <si>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</si>
  <si>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</si>
  <si>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</si>
  <si>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</si>
  <si>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</si>
  <si>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</si>
  <si>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</si>
  <si>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</si>
  <si>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</si>
  <si>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</si>
  <si>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</si>
  <si>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</si>
  <si>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</si>
  <si>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</si>
  <si>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</si>
  <si>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</si>
  <si>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</si>
  <si>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</si>
  <si>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</si>
  <si>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</si>
  <si>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</si>
  <si>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</si>
  <si>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</si>
  <si>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</si>
  <si>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</si>
  <si>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</si>
  <si>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</si>
  <si>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</si>
  <si>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</si>
  <si>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</si>
  <si>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</si>
  <si>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</si>
  <si>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</si>
  <si>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</si>
  <si>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</si>
  <si>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</si>
  <si>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</si>
  <si>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</si>
  <si>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</si>
  <si>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</si>
  <si>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</si>
  <si>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</si>
  <si>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</si>
  <si>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</si>
  <si>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</si>
  <si>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</si>
  <si>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</si>
  <si>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</si>
  <si>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</si>
  <si>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</si>
  <si>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</si>
  <si>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</si>
  <si>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</si>
  <si>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</si>
  <si>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</si>
  <si>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</si>
  <si>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</si>
  <si>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</si>
  <si>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</si>
  <si>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</si>
  <si>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</si>
  <si>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</si>
  <si>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</si>
  <si>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</si>
  <si>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</si>
  <si>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</si>
  <si>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</si>
  <si>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</si>
  <si>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</si>
  <si>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</si>
  <si>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</si>
  <si>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</si>
  <si>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</si>
  <si>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</si>
  <si>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</si>
  <si>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</si>
  <si>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</si>
  <si>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</si>
  <si>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</si>
  <si>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</si>
  <si>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</si>
  <si>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</si>
  <si>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</si>
  <si>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</si>
  <si>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</si>
  <si>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</si>
  <si>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</si>
  <si>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</si>
  <si>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</si>
  <si>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</si>
  <si>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</si>
  <si>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</si>
  <si>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</si>
  <si>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</si>
  <si>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</si>
  <si>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</si>
  <si>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</si>
  <si>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</si>
  <si>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</si>
  <si>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</si>
  <si>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</si>
  <si>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</si>
  <si>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</si>
  <si>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</si>
  <si>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</si>
  <si>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</si>
  <si>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</si>
  <si>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</si>
  <si>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</si>
  <si>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</si>
  <si>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</si>
  <si>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</si>
  <si>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</si>
  <si>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</si>
  <si>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</si>
  <si>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</si>
  <si>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</si>
  <si>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</si>
  <si>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</si>
  <si>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</si>
  <si>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</si>
  <si>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</si>
  <si>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</si>
  <si>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</si>
  <si>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</si>
  <si>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</si>
  <si>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</si>
  <si>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</si>
  <si>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</si>
  <si>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</si>
  <si>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</si>
  <si>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</si>
  <si>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</si>
  <si>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</si>
  <si>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</si>
  <si>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</si>
  <si>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</si>
  <si>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</si>
  <si>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</si>
  <si>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</si>
  <si>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</si>
  <si>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</si>
  <si>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</si>
  <si>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</si>
  <si>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</si>
  <si>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</si>
  <si>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</si>
  <si>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</si>
  <si>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</si>
  <si>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</si>
  <si>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</si>
  <si>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</si>
  <si>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</si>
  <si>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</si>
  <si>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</si>
  <si>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</si>
  <si>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</si>
  <si>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</si>
  <si>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</si>
  <si>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</si>
  <si>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</si>
  <si>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</si>
  <si>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</si>
  <si>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</si>
  <si>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</si>
  <si>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</si>
  <si>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</si>
  <si>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</si>
  <si>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</si>
  <si>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</si>
  <si>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</si>
  <si>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</si>
  <si>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</si>
  <si>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</si>
  <si>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</si>
  <si>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</si>
  <si>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</si>
  <si>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</si>
  <si>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</si>
  <si>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</si>
  <si>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</si>
  <si>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</si>
  <si>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</si>
  <si>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</si>
  <si>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</si>
  <si>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</si>
  <si>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</si>
  <si>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</si>
  <si>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</si>
  <si>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</si>
  <si>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</si>
  <si>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</si>
  <si>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</si>
  <si>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</si>
  <si>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</si>
  <si>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</si>
  <si>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</si>
  <si>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</si>
  <si>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</si>
  <si>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</si>
  <si>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</si>
  <si>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</si>
  <si>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</si>
  <si>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</si>
  <si>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</si>
  <si>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</si>
  <si>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</si>
  <si>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</si>
  <si>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</si>
  <si>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</si>
  <si>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</si>
  <si>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</si>
  <si>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</si>
  <si>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</si>
  <si>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</si>
  <si>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</si>
  <si>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</si>
  <si>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</si>
  <si>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</si>
  <si>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</si>
  <si>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</si>
  <si>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</si>
  <si>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</si>
  <si>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</si>
  <si>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</si>
  <si>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</si>
  <si>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</si>
  <si>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</si>
  <si>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</si>
  <si>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</si>
  <si>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</si>
  <si>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</si>
  <si>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</si>
  <si>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</si>
  <si>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</si>
  <si>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</si>
  <si>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</si>
  <si>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</si>
  <si>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</si>
  <si>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</si>
  <si>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</si>
  <si>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</si>
  <si>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</si>
  <si>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</si>
  <si>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</si>
  <si>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</si>
  <si>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</si>
  <si>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</si>
  <si>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</si>
  <si>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</si>
  <si>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</si>
  <si>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</si>
  <si>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</si>
  <si>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</si>
  <si>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</si>
  <si>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</si>
  <si>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</si>
  <si>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</si>
  <si>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</si>
  <si>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</si>
  <si>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</si>
  <si>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</si>
  <si>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</si>
  <si>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</si>
  <si>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</si>
  <si>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</si>
  <si>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</si>
  <si>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</si>
  <si>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</si>
  <si>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</si>
  <si>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</si>
  <si>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</si>
  <si>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</si>
  <si>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</si>
  <si>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</si>
  <si>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</si>
  <si>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</si>
  <si>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</si>
  <si>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</si>
  <si>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</si>
  <si>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</si>
  <si>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</si>
  <si>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</si>
  <si>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</si>
  <si>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</si>
  <si>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</si>
  <si>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</si>
  <si>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</si>
  <si>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</si>
  <si>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</si>
  <si>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</si>
  <si>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</si>
  <si>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</si>
  <si>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</si>
  <si>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</si>
  <si>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</si>
  <si>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</si>
  <si>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</si>
  <si>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</si>
  <si>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</si>
  <si>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</si>
  <si>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</si>
  <si>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</si>
  <si>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</si>
  <si>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</si>
  <si>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</si>
  <si>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</si>
  <si>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</si>
  <si>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</si>
  <si>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</si>
  <si>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</si>
  <si>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</si>
  <si>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</si>
  <si>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</si>
  <si>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</si>
  <si>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</si>
  <si>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</si>
  <si>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</si>
  <si>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</si>
  <si>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</si>
  <si>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</si>
  <si>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</si>
  <si>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</si>
  <si>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</si>
  <si>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</si>
  <si>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</si>
  <si>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</si>
  <si>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</si>
  <si>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</si>
  <si>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</si>
  <si>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</si>
  <si>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</si>
  <si>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</si>
  <si>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</si>
  <si>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</si>
  <si>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</si>
  <si>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</si>
  <si>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</si>
  <si>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</si>
  <si>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</si>
  <si>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</si>
  <si>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</si>
  <si>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</si>
  <si>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</si>
  <si>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</si>
  <si>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</si>
  <si>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</si>
  <si>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</si>
  <si>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</si>
  <si>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</si>
  <si>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</si>
  <si>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</si>
  <si>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</si>
  <si>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</si>
  <si>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</si>
  <si>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</si>
  <si>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</si>
  <si>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</si>
  <si>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</si>
  <si>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</si>
  <si>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</si>
  <si>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</si>
  <si>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</si>
  <si>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</si>
  <si>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</si>
  <si>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</si>
  <si>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</si>
  <si>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</si>
  <si>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</si>
  <si>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</si>
  <si>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</si>
  <si>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</si>
  <si>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</si>
  <si>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</si>
  <si>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</si>
  <si>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</si>
  <si>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</si>
  <si>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</si>
  <si>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</si>
  <si>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</si>
  <si>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</si>
  <si>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</si>
  <si>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</si>
  <si>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</si>
  <si>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</si>
  <si>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</si>
  <si>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</si>
  <si>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</si>
  <si>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</si>
  <si>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</si>
  <si>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</si>
  <si>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</si>
  <si>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</si>
  <si>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</si>
  <si>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</si>
  <si>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</si>
  <si>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</si>
  <si>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</si>
  <si>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</si>
  <si>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</si>
  <si>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</si>
  <si>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</si>
  <si>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</si>
  <si>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</si>
  <si>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</si>
  <si>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</si>
  <si>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</si>
  <si>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</si>
  <si>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</si>
  <si>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</si>
  <si>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</si>
  <si>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</si>
  <si>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</si>
  <si>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</si>
  <si>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</si>
  <si>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</si>
  <si>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</si>
  <si>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</si>
  <si>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</si>
  <si>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</si>
  <si>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</si>
  <si>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</si>
  <si>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</si>
  <si>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</si>
  <si>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</si>
  <si>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</si>
  <si>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</si>
  <si>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</si>
  <si>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</si>
  <si>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</si>
  <si>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</si>
  <si>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</si>
  <si>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</si>
  <si>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</si>
  <si>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</si>
  <si>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</si>
  <si>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</si>
  <si>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</si>
  <si>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</si>
  <si>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</si>
  <si>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</si>
  <si>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</si>
  <si>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</si>
  <si>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</si>
  <si>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</si>
  <si>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</si>
  <si>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</si>
  <si>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</si>
  <si>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</si>
  <si>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</si>
  <si>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</si>
  <si>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</si>
  <si>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</si>
  <si>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</si>
  <si>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</si>
  <si>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</si>
  <si>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</si>
  <si>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</si>
  <si>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</si>
  <si>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</si>
  <si>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</si>
  <si>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</si>
  <si>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</si>
  <si>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</si>
  <si>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</si>
  <si>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</si>
  <si>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</si>
  <si>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</si>
  <si>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</si>
  <si>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</si>
  <si>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</si>
  <si>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</si>
  <si>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</si>
  <si>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</si>
  <si>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</si>
  <si>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</si>
  <si>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</si>
  <si>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</si>
  <si>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</si>
  <si>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</si>
  <si>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</si>
  <si>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</si>
  <si>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</si>
  <si>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</si>
  <si>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</si>
  <si>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</si>
  <si>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</si>
  <si>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</si>
  <si>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</si>
  <si>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</si>
  <si>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</si>
  <si>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</si>
  <si>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</si>
  <si>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</si>
  <si>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</si>
  <si>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</si>
  <si>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</si>
  <si>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</si>
  <si>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</si>
  <si>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</si>
  <si>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</si>
  <si>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</si>
  <si>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</si>
  <si>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</si>
  <si>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</si>
  <si>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</si>
  <si>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</si>
  <si>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</si>
  <si>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</si>
  <si>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</si>
  <si>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</si>
  <si>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</si>
  <si>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</si>
  <si>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</si>
  <si>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</si>
  <si>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</si>
  <si>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</si>
  <si>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</si>
  <si>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</si>
  <si>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</si>
  <si>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</si>
  <si>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</si>
  <si>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</si>
  <si>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</si>
  <si>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</si>
  <si>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</si>
  <si>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</si>
  <si>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</si>
  <si>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</si>
  <si>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</si>
  <si>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</si>
  <si>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</si>
  <si>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</si>
  <si>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</si>
  <si>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</si>
  <si>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</si>
  <si>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</si>
  <si>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</si>
  <si>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</si>
  <si>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</si>
  <si>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</si>
  <si>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</si>
  <si>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</si>
  <si>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</si>
  <si>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</si>
  <si>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</si>
  <si>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</si>
  <si>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</si>
  <si>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</si>
  <si>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</si>
  <si>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</si>
  <si>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</si>
  <si>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</si>
  <si>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</si>
  <si>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</si>
  <si>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</si>
  <si>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</si>
  <si>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</si>
  <si>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</si>
  <si>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</si>
  <si>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</si>
  <si>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</si>
  <si>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</si>
  <si>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</si>
  <si>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</si>
  <si>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</si>
  <si>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</si>
  <si>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</si>
  <si>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</si>
  <si>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</si>
  <si>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</si>
  <si>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</si>
  <si>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</si>
  <si>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</si>
  <si>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</si>
  <si>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</si>
  <si>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</si>
  <si>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</si>
  <si>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</si>
  <si>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</si>
  <si>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</si>
  <si>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</si>
  <si>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</si>
  <si>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</si>
  <si>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</si>
  <si>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</si>
  <si>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</si>
  <si>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</si>
  <si>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</si>
  <si>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</si>
  <si>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</si>
  <si>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</si>
  <si>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</si>
  <si>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</si>
  <si>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</si>
  <si>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</si>
  <si>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</si>
  <si>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</si>
  <si>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</si>
  <si>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</si>
  <si>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</si>
  <si>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</si>
  <si>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</si>
  <si>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</si>
  <si>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</si>
  <si>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</si>
  <si>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</si>
  <si>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</si>
  <si>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</si>
  <si>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</si>
  <si>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</si>
  <si>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</si>
  <si>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</si>
  <si>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</si>
  <si>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</si>
  <si>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</si>
  <si>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</si>
  <si>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</si>
  <si>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</si>
  <si>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</si>
  <si>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</si>
  <si>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</si>
  <si>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</si>
  <si>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</si>
  <si>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</si>
  <si>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</si>
  <si>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</si>
  <si>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</si>
  <si>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</si>
  <si>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</si>
  <si>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</si>
  <si>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</si>
  <si>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</si>
  <si>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</si>
  <si>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</si>
  <si>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</si>
  <si>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</si>
  <si>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</si>
  <si>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</si>
  <si>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</si>
  <si>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</si>
  <si>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</si>
  <si>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</si>
  <si>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</si>
  <si>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</si>
  <si>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</si>
  <si>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</si>
  <si>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</si>
  <si>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</si>
  <si>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</si>
  <si>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</si>
  <si>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</si>
  <si>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</si>
  <si>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</si>
  <si>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</si>
  <si>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</si>
  <si>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</si>
  <si>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</si>
  <si>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</si>
  <si>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</si>
  <si>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</si>
  <si>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</si>
  <si>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</si>
  <si>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</si>
  <si>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</si>
  <si>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</si>
  <si>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</si>
  <si>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</si>
  <si>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</si>
  <si>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</si>
  <si>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</si>
  <si>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</si>
  <si>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</si>
  <si>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</si>
  <si>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</si>
  <si>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</si>
  <si>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</si>
  <si>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</si>
  <si>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</si>
  <si>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</si>
  <si>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</si>
  <si>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</si>
  <si>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</si>
  <si>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</si>
  <si>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</si>
  <si>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</si>
  <si>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</si>
  <si>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</si>
  <si>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</si>
  <si>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</si>
  <si>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</si>
  <si>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</si>
  <si>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</si>
  <si>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</si>
  <si>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</si>
  <si>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</si>
  <si>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</si>
  <si>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</si>
  <si>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</si>
  <si>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</si>
  <si>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</si>
  <si>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</si>
  <si>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</si>
  <si>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</si>
  <si>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</si>
  <si>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</si>
  <si>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</si>
  <si>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</si>
  <si>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</si>
  <si>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</si>
  <si>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</si>
  <si>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</si>
  <si>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</si>
  <si>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</si>
  <si>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</si>
  <si>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</si>
  <si>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</si>
  <si>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</si>
  <si>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</si>
  <si>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</si>
  <si>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</si>
  <si>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</si>
  <si>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</si>
  <si>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</si>
  <si>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</si>
  <si>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</si>
  <si>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</si>
  <si>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</si>
  <si>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</si>
  <si>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</si>
  <si>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</si>
  <si>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</si>
  <si>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</si>
  <si>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</si>
  <si>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</si>
  <si>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</si>
  <si>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</si>
  <si>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</si>
  <si>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</si>
  <si>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</si>
  <si>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</si>
  <si>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</si>
  <si>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</si>
  <si>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</si>
  <si>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</si>
  <si>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</si>
  <si>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</si>
  <si>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</si>
  <si>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</si>
  <si>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</si>
  <si>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</si>
  <si>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</si>
  <si>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</si>
  <si>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</si>
  <si>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</si>
  <si>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</si>
  <si>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</si>
  <si>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</si>
  <si>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</si>
  <si>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</si>
  <si>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</si>
  <si>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</si>
  <si>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</si>
  <si>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</si>
  <si>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</si>
  <si>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</si>
  <si>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</si>
  <si>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</si>
  <si>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</si>
  <si>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</si>
  <si>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</si>
  <si>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</si>
  <si>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</si>
  <si>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</si>
  <si>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</si>
  <si>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</si>
  <si>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</si>
  <si>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</si>
  <si>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</si>
  <si>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</si>
  <si>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</si>
  <si>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</si>
  <si>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</si>
  <si>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</si>
  <si>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</si>
  <si>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</si>
  <si>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</si>
  <si>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</si>
  <si>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</si>
  <si>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</si>
  <si>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</si>
  <si>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</si>
  <si>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</si>
  <si>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</si>
  <si>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</si>
  <si>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</si>
  <si>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</si>
  <si>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</si>
  <si>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</si>
  <si>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</si>
  <si>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</si>
  <si>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</si>
  <si>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</si>
  <si>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</si>
  <si>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</si>
  <si>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</si>
  <si>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</si>
  <si>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</si>
  <si>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</si>
  <si>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</si>
  <si>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</si>
  <si>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</si>
  <si>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</si>
  <si>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</si>
  <si>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</si>
  <si>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</si>
  <si>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</si>
  <si>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</si>
  <si>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</si>
  <si>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</si>
  <si>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</si>
  <si>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</si>
  <si>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</si>
  <si>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</si>
  <si>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</si>
  <si>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</si>
  <si>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</si>
  <si>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</si>
  <si>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</si>
  <si>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</si>
  <si>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</si>
  <si>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</si>
  <si>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</si>
  <si>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</si>
  <si>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</si>
  <si>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</si>
  <si>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</si>
  <si>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</si>
  <si>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</si>
  <si>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</si>
  <si>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</si>
  <si>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</si>
  <si>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</si>
  <si>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</si>
  <si>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</si>
  <si>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</si>
  <si>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</si>
  <si>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</si>
  <si>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</si>
  <si>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</si>
  <si>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</si>
  <si>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</si>
  <si>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</si>
  <si>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</si>
  <si>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</si>
  <si>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</si>
  <si>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</si>
  <si>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</si>
  <si>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</si>
  <si>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</si>
  <si>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</si>
  <si>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</si>
  <si>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</si>
  <si>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</si>
  <si>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</si>
  <si>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</si>
  <si>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</si>
  <si>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</si>
  <si>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</si>
  <si>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</si>
  <si>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</si>
  <si>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</si>
  <si>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</si>
  <si>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</si>
  <si>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</si>
  <si>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</si>
  <si>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</si>
  <si>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</si>
  <si>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</si>
  <si>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</si>
  <si>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</si>
  <si>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</si>
  <si>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</si>
  <si>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</si>
  <si>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</si>
  <si>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</si>
  <si>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</si>
  <si>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</si>
  <si>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</si>
  <si>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</si>
  <si>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</si>
  <si>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</si>
  <si>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</si>
  <si>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</si>
  <si>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</si>
  <si>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</si>
  <si>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</si>
  <si>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</si>
  <si>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</si>
  <si>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</si>
  <si>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</si>
  <si>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</si>
  <si>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</si>
  <si>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</si>
  <si>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</si>
  <si>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</si>
  <si>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</si>
  <si>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</si>
  <si>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</si>
  <si>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</si>
  <si>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</si>
  <si>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</si>
  <si>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</si>
  <si>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</si>
  <si>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</si>
  <si>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</si>
  <si>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</si>
  <si>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</si>
  <si>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</si>
  <si>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</si>
  <si>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</si>
  <si>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</si>
  <si>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</si>
  <si>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</si>
  <si>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</si>
  <si>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</si>
  <si>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</si>
  <si>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</si>
  <si>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</si>
  <si>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</si>
  <si>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</si>
  <si>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</si>
  <si>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</si>
  <si>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</si>
  <si>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</si>
  <si>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</si>
  <si>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</si>
  <si>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</si>
  <si>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</si>
  <si>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</si>
  <si>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</si>
  <si>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</si>
  <si>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</si>
  <si>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</si>
  <si>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</si>
  <si>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</si>
  <si>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</si>
  <si>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</si>
  <si>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</si>
  <si>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</si>
  <si>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</si>
  <si>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</si>
  <si>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</si>
  <si>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</si>
  <si>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</si>
  <si>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</si>
  <si>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</si>
  <si>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</si>
  <si>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</si>
  <si>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</si>
  <si>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</si>
  <si>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</si>
  <si>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</si>
  <si>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</si>
  <si>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</si>
  <si>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</si>
  <si>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</si>
  <si>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</si>
  <si>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</si>
  <si>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</si>
  <si>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</si>
  <si>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</si>
  <si>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</si>
  <si>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</si>
  <si>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</si>
  <si>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</si>
  <si>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</si>
  <si>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</si>
  <si>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</si>
  <si>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</si>
  <si>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</si>
  <si>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</si>
  <si>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</si>
  <si>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</si>
  <si>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</si>
  <si>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</si>
  <si>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</si>
  <si>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</si>
  <si>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</si>
  <si>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</si>
  <si>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</si>
  <si>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</si>
  <si>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</si>
  <si>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</si>
  <si>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</si>
  <si>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</si>
  <si>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</si>
  <si>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</si>
  <si>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</si>
  <si>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</si>
  <si>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</si>
  <si>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</si>
  <si>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</si>
  <si>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</si>
  <si>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</si>
  <si>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</si>
  <si>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</si>
  <si>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</si>
  <si>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</si>
  <si>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</si>
  <si>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</si>
  <si>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</si>
  <si>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</si>
  <si>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</si>
  <si>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</si>
  <si>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</si>
  <si>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</si>
  <si>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</si>
  <si>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</si>
  <si>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</si>
  <si>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</si>
  <si>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</si>
  <si>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</si>
  <si>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</si>
  <si>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</si>
  <si>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</si>
  <si>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</si>
  <si>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</si>
  <si>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</si>
  <si>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</si>
  <si>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</si>
  <si>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</si>
  <si>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</si>
  <si>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</si>
  <si>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</si>
  <si>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</si>
  <si>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</si>
  <si>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</si>
  <si>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</si>
  <si>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</si>
  <si>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</si>
  <si>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</si>
  <si>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</si>
  <si>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</si>
  <si>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</si>
  <si>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</si>
  <si>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</si>
  <si>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</si>
  <si>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</si>
  <si>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</si>
  <si>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</si>
  <si>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</si>
  <si>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</si>
  <si>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</si>
  <si>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</si>
  <si>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</si>
  <si>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</si>
  <si>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</si>
  <si>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</si>
  <si>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</si>
  <si>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</si>
  <si>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</si>
  <si>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</si>
  <si>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</si>
  <si>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</si>
  <si>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</si>
  <si>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</si>
  <si>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</si>
  <si>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</si>
  <si>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</si>
  <si>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</si>
  <si>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</si>
  <si>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</si>
  <si>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</si>
  <si>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</si>
  <si>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</si>
  <si>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</si>
  <si>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</si>
  <si>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</si>
  <si>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</si>
  <si>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</si>
  <si>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</si>
  <si>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</si>
  <si>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</si>
  <si>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</si>
  <si>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</si>
  <si>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</si>
  <si>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</si>
  <si>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</si>
  <si>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</si>
  <si>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</si>
  <si>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</si>
  <si>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</si>
  <si>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</si>
  <si>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</si>
  <si>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</si>
  <si>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</si>
  <si>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</si>
  <si>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</si>
  <si>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</si>
  <si>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</si>
  <si>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</si>
  <si>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</si>
  <si>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</si>
  <si>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</si>
  <si>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</si>
  <si>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</si>
  <si>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</si>
  <si>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</si>
  <si>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</si>
  <si>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</si>
  <si>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</si>
  <si>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</si>
  <si>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</si>
  <si>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</si>
  <si>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</si>
  <si>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</si>
  <si>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</si>
  <si>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</si>
  <si>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</si>
  <si>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</si>
  <si>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</si>
  <si>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</si>
  <si>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</si>
  <si>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</si>
  <si>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</si>
  <si>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</si>
  <si>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</si>
  <si>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</si>
  <si>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</si>
  <si>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</si>
  <si>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</si>
  <si>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</si>
  <si>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</si>
  <si>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</si>
  <si>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</si>
  <si>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</si>
  <si>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</si>
  <si>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</si>
  <si>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</si>
  <si>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</si>
  <si>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</si>
  <si>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</si>
  <si>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</si>
  <si>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</si>
  <si>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</si>
  <si>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</si>
  <si>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</si>
  <si>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</si>
  <si>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</si>
  <si>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</si>
  <si>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</si>
  <si>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</si>
  <si>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</si>
  <si>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</si>
  <si>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</si>
  <si>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</si>
  <si>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</si>
  <si>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</si>
  <si>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</si>
  <si>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</si>
  <si>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</si>
  <si>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</si>
  <si>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</si>
  <si>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</si>
  <si>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</si>
  <si>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</si>
  <si>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</si>
  <si>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</si>
  <si>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</si>
  <si>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</si>
  <si>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</si>
  <si>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</si>
  <si>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</si>
  <si>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</si>
  <si>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</si>
  <si>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</si>
  <si>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</si>
  <si>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</si>
  <si>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</si>
  <si>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</si>
  <si>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</si>
  <si>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</si>
  <si>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</si>
  <si>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</si>
  <si>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</si>
  <si>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</si>
  <si>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</si>
  <si>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</si>
  <si>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</si>
  <si>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</si>
  <si>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</si>
  <si>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</si>
  <si>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</si>
  <si>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</si>
  <si>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</si>
  <si>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</si>
  <si>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</si>
  <si>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</si>
  <si>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</si>
  <si>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</si>
  <si>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</si>
  <si>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</si>
  <si>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</si>
  <si>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</si>
  <si>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</si>
  <si>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</si>
  <si>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</si>
  <si>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</si>
  <si>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</si>
  <si>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</si>
  <si>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</si>
  <si>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</si>
  <si>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</si>
  <si>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</si>
  <si>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</si>
  <si>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</si>
  <si>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</si>
  <si>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</si>
  <si>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</si>
  <si>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</si>
  <si>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</si>
  <si>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</si>
  <si>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</si>
  <si>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</si>
  <si>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</si>
  <si>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</si>
  <si>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</si>
  <si>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</si>
  <si>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</si>
  <si>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</si>
  <si>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</si>
  <si>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</si>
  <si>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</si>
  <si>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</si>
  <si>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</si>
  <si>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</si>
  <si>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</si>
  <si>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</si>
  <si>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</si>
  <si>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</si>
  <si>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</si>
  <si>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</si>
  <si>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</si>
  <si>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</si>
  <si>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</si>
  <si>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</si>
  <si>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</si>
  <si>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</si>
  <si>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</si>
  <si>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</si>
  <si>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</si>
  <si>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</si>
  <si>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</si>
  <si>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</si>
  <si>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</si>
  <si>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</si>
  <si>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</si>
  <si>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</si>
  <si>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</si>
  <si>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</si>
  <si>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</si>
  <si>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</si>
  <si>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</si>
  <si>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</si>
  <si>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</si>
  <si>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</si>
  <si>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</si>
  <si>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</si>
  <si>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</si>
  <si>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</si>
  <si>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</si>
  <si>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</si>
  <si>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</si>
  <si>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</si>
  <si>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</si>
  <si>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</si>
  <si>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</si>
  <si>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</si>
  <si>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</si>
  <si>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</si>
  <si>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</si>
  <si>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</si>
  <si>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</si>
  <si>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</si>
  <si>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</si>
  <si>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</si>
  <si>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</si>
  <si>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</si>
  <si>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</si>
  <si>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</si>
  <si>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</si>
  <si>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</si>
  <si>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</si>
  <si>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</si>
  <si>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</si>
  <si>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</si>
  <si>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</si>
  <si>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</si>
  <si>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</si>
  <si>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</si>
  <si>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</si>
  <si>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</si>
  <si>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</si>
  <si>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</si>
  <si>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</si>
  <si>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</si>
  <si>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</si>
  <si>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</si>
  <si>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</si>
  <si>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</si>
  <si>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</si>
  <si>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</si>
  <si>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</si>
  <si>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</si>
  <si>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</si>
  <si>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</si>
  <si>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</si>
  <si>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</si>
  <si>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</si>
  <si>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</si>
  <si>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</si>
  <si>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</si>
  <si>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</si>
  <si>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</si>
  <si>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</si>
  <si>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</si>
  <si>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</si>
  <si>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</si>
  <si>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</si>
  <si>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</si>
  <si>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</si>
  <si>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</si>
  <si>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</si>
  <si>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</si>
  <si>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</si>
  <si>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</si>
  <si>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</si>
  <si>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</si>
  <si>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</si>
  <si>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</si>
  <si>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</si>
  <si>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</si>
  <si>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</si>
  <si>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</si>
  <si>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</si>
  <si>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</si>
  <si>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</si>
  <si>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</si>
  <si>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</si>
  <si>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</si>
  <si>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</si>
  <si>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</si>
  <si>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</si>
  <si>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</si>
  <si>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</si>
  <si>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</si>
  <si>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</si>
  <si>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</si>
  <si>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</si>
  <si>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</si>
  <si>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</si>
  <si>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</si>
  <si>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</si>
  <si>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</si>
  <si>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</si>
  <si>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</si>
  <si>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</si>
  <si>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</si>
  <si>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</si>
  <si>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</si>
  <si>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</si>
  <si>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</si>
  <si>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</si>
  <si>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</si>
  <si>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</si>
  <si>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</si>
  <si>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</si>
  <si>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</si>
  <si>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</si>
  <si>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</si>
  <si>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</si>
  <si>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</si>
  <si>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</si>
  <si>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</si>
  <si>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</si>
  <si>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</si>
  <si>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</si>
  <si>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</si>
  <si>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</si>
  <si>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</si>
  <si>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</si>
  <si>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</si>
  <si>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</si>
  <si>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</si>
  <si>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</si>
  <si>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</si>
  <si>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</si>
  <si>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</si>
  <si>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</si>
  <si>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</si>
  <si>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</si>
  <si>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</si>
  <si>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</si>
  <si>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</si>
  <si>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</si>
  <si>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</si>
  <si>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</si>
  <si>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</si>
  <si>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</si>
  <si>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</si>
  <si>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</si>
  <si>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</si>
  <si>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</si>
  <si>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</si>
  <si>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</si>
  <si>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</si>
  <si>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</si>
  <si>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</si>
  <si>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</si>
  <si>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</si>
  <si>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</si>
  <si>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</si>
  <si>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</si>
  <si>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</si>
  <si>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</si>
  <si>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</si>
  <si>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</si>
  <si>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</si>
  <si>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</si>
  <si>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</si>
  <si>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</si>
  <si>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</si>
  <si>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</si>
  <si>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</si>
  <si>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</si>
  <si>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</si>
  <si>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</si>
  <si>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</si>
  <si>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</si>
  <si>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</si>
  <si>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</si>
  <si>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</si>
  <si>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</si>
  <si>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</si>
  <si>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</si>
  <si>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</si>
  <si>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</si>
  <si>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</si>
  <si>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</si>
  <si>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</si>
  <si>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</si>
  <si>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</si>
  <si>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</si>
  <si>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</si>
  <si>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</si>
  <si>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</si>
  <si>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</si>
  <si>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</si>
  <si>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</si>
  <si>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</si>
  <si>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</si>
  <si>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</si>
  <si>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</si>
  <si>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</si>
  <si>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</si>
  <si>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</si>
  <si>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</si>
  <si>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</si>
  <si>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</si>
  <si>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</si>
  <si>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</si>
  <si>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</si>
  <si>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</si>
  <si>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</si>
  <si>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</si>
  <si>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</si>
  <si>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</si>
  <si>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</si>
  <si>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</si>
  <si>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</si>
  <si>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</si>
  <si>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</si>
  <si>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</si>
  <si>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</si>
  <si>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</si>
  <si>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</si>
  <si>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</si>
  <si>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</si>
  <si>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</si>
  <si>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</si>
  <si>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</si>
  <si>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</si>
  <si>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</si>
  <si>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</si>
  <si>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</si>
  <si>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</si>
  <si>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</si>
  <si>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</si>
  <si>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</si>
  <si>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</si>
  <si>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</si>
  <si>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</si>
  <si>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</si>
  <si>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</si>
  <si>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</si>
  <si>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</si>
  <si>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</si>
  <si>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</si>
  <si>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</si>
  <si>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</si>
  <si>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</si>
  <si>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</si>
  <si>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</si>
  <si>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</si>
  <si>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</si>
  <si>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</si>
  <si>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</si>
  <si>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</si>
  <si>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</si>
  <si>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</si>
  <si>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</si>
  <si>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</si>
  <si>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</si>
  <si>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</si>
  <si>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</si>
  <si>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</si>
  <si>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</si>
  <si>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</si>
  <si>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</si>
  <si>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</si>
  <si>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</si>
  <si>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</si>
  <si>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</si>
  <si>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</si>
  <si>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</si>
  <si>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</si>
  <si>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</si>
  <si>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</si>
  <si>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</si>
  <si>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</si>
  <si>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</si>
  <si>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</si>
  <si>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</si>
  <si>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</si>
  <si>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</si>
  <si>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</si>
  <si>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</si>
  <si>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</si>
  <si>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</si>
  <si>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</si>
  <si>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</si>
  <si>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</si>
  <si>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</si>
  <si>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</si>
  <si>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</si>
  <si>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</si>
  <si>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</si>
  <si>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</si>
  <si>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</si>
  <si>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</si>
  <si>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</si>
  <si>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</si>
  <si>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</si>
  <si>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</si>
  <si>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</si>
  <si>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</si>
  <si>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</si>
  <si>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</si>
  <si>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</si>
  <si>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</si>
  <si>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</si>
  <si>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</si>
  <si>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</si>
  <si>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</si>
  <si>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</si>
  <si>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</si>
  <si>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</si>
  <si>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</si>
  <si>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</si>
  <si>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</si>
  <si>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</si>
  <si>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</si>
  <si>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</si>
  <si>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</si>
  <si>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</si>
  <si>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</si>
  <si>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</si>
  <si>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</si>
  <si>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</si>
  <si>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</si>
  <si>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</si>
  <si>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</si>
  <si>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</si>
  <si>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</si>
  <si>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</si>
  <si>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</si>
  <si>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</si>
  <si>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</si>
  <si>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</si>
  <si>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</si>
  <si>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</si>
  <si>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</si>
  <si>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</si>
  <si>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</si>
  <si>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</si>
  <si>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</si>
  <si>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</si>
  <si>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</si>
  <si>
    <t>الحساب الجارى رقم 1180001000006309  بنك مصر فرع رمسيس</t>
  </si>
  <si>
    <t>المبلغ بالتفقيط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</si>
</sst>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yyyy/mm/dd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" fontId="0" fillId="0" borderId="1" xfId="0" applyNumberForma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5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rightToLeft="1" tabSelected="1" view="pageBreakPreview" zoomScaleNormal="180" zoomScaleSheetLayoutView="100" workbookViewId="0">
      <selection activeCell="G8" sqref="G8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4" style="4" customWidth="1"/>
    <col min="7" max="7" width="23" style="4" customWidth="1"/>
    <col min="8" max="16384" width="9.109375" style="4"/>
  </cols>
  <sheetData>
    <row r="1" spans="1:7" x14ac:dyDescent="0.25">
      <c r="A1" s="22" t="s">
        <v>10004</v>
      </c>
      <c r="B1" s="22"/>
      <c r="C1" s="22"/>
      <c r="F1" s="24" t="s">
        <v>10589</v>
      </c>
      <c r="G1" s="22"/>
    </row>
    <row r="2" spans="1:7" x14ac:dyDescent="0.25">
      <c r="A2" s="22" t="s">
        <v>10588</v>
      </c>
      <c r="B2" s="22"/>
      <c r="C2" s="22"/>
    </row>
    <row r="3" spans="1:7" x14ac:dyDescent="0.25">
      <c r="A3" s="24" t="s">
        <v>10587</v>
      </c>
      <c r="B3" s="22"/>
      <c r="C3" s="22"/>
    </row>
    <row r="4" spans="1:7" x14ac:dyDescent="0.25">
      <c r="A4" s="5"/>
    </row>
    <row r="5" spans="1:7" ht="33.75" customHeight="1" x14ac:dyDescent="0.25">
      <c r="A5" s="28" t="s">
        <v>10592</v>
      </c>
      <c r="B5" s="28"/>
      <c r="C5" s="28"/>
      <c r="D5" s="28"/>
      <c r="E5" s="28"/>
      <c r="F5" s="21"/>
      <c r="G5" s="12"/>
    </row>
    <row r="6" spans="1:7" ht="19.5" customHeight="1" x14ac:dyDescent="0.25">
      <c r="A6" s="23" t="s">
        <v>10593</v>
      </c>
      <c r="B6" s="23"/>
      <c r="C6" s="23"/>
      <c r="D6" s="23"/>
      <c r="E6" s="23"/>
      <c r="F6" s="23"/>
      <c r="G6" s="23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10590</v>
      </c>
      <c r="F7" s="16" t="s">
        <v>10591</v>
      </c>
      <c r="G7" s="15" t="s">
        <v>10594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 t="str">
        <f>IFERROR(NoToTxt(E8,"جنيها","قرش"),"")</f>
        <v>صفر</v>
      </c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 t="str">
        <f t="shared" ref="G9:G50" si="0">NoToTxt(E9,"جنيها","قرش")</f>
        <v>صفر</v>
      </c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 t="str">
        <f t="shared" si="0"/>
        <v>صفر</v>
      </c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 t="str">
        <f t="shared" si="0"/>
        <v>صفر</v>
      </c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 t="str">
        <f t="shared" si="0"/>
        <v>صفر</v>
      </c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 t="str">
        <f t="shared" si="0"/>
        <v>صفر</v>
      </c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 t="str">
        <f t="shared" si="0"/>
        <v>صفر</v>
      </c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 t="str">
        <f t="shared" si="0"/>
        <v>صفر</v>
      </c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 t="str">
        <f t="shared" si="0"/>
        <v>صفر</v>
      </c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 t="str">
        <f t="shared" si="0"/>
        <v>صفر</v>
      </c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 t="str">
        <f t="shared" si="0"/>
        <v>صفر</v>
      </c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 t="str">
        <f t="shared" si="0"/>
        <v>صفر</v>
      </c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 t="str">
        <f t="shared" si="0"/>
        <v>صفر</v>
      </c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 t="str">
        <f t="shared" si="0"/>
        <v>صفر</v>
      </c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 t="str">
        <f t="shared" si="0"/>
        <v>صفر</v>
      </c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 t="str">
        <f t="shared" si="0"/>
        <v>صفر</v>
      </c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 t="str">
        <f t="shared" si="0"/>
        <v>صفر</v>
      </c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 t="str">
        <f t="shared" si="0"/>
        <v>صفر</v>
      </c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 t="str">
        <f t="shared" si="0"/>
        <v>صفر</v>
      </c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 t="str">
        <f t="shared" si="0"/>
        <v>صفر</v>
      </c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 t="str">
        <f t="shared" si="0"/>
        <v>صفر</v>
      </c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 t="str">
        <f t="shared" si="0"/>
        <v>صفر</v>
      </c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 t="str">
        <f t="shared" si="0"/>
        <v>صفر</v>
      </c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 t="str">
        <f t="shared" si="0"/>
        <v>صفر</v>
      </c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 t="str">
        <f t="shared" si="0"/>
        <v>صفر</v>
      </c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 t="str">
        <f t="shared" si="0"/>
        <v>صفر</v>
      </c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 t="str">
        <f t="shared" si="0"/>
        <v>صفر</v>
      </c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 t="str">
        <f t="shared" si="0"/>
        <v>صفر</v>
      </c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 t="str">
        <f t="shared" si="0"/>
        <v>صفر</v>
      </c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 t="str">
        <f t="shared" si="0"/>
        <v>صفر</v>
      </c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 t="str">
        <f t="shared" si="0"/>
        <v>صفر</v>
      </c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 t="str">
        <f t="shared" si="0"/>
        <v>صفر</v>
      </c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 t="str">
        <f t="shared" si="0"/>
        <v>صفر</v>
      </c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 t="str">
        <f t="shared" si="0"/>
        <v>صفر</v>
      </c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 t="str">
        <f t="shared" si="0"/>
        <v>صفر</v>
      </c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 t="str">
        <f t="shared" si="0"/>
        <v>صفر</v>
      </c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 t="str">
        <f t="shared" si="0"/>
        <v>صفر</v>
      </c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 t="str">
        <f t="shared" si="0"/>
        <v>صفر</v>
      </c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 t="str">
        <f t="shared" si="0"/>
        <v>صفر</v>
      </c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 t="str">
        <f t="shared" si="0"/>
        <v>صفر</v>
      </c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 t="str">
        <f t="shared" si="0"/>
        <v>صفر</v>
      </c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 t="str">
        <f t="shared" si="0"/>
        <v>صفر</v>
      </c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 t="str">
        <f t="shared" si="0"/>
        <v>صفر</v>
      </c>
    </row>
    <row r="51" spans="1:8" ht="33" customHeight="1" x14ac:dyDescent="0.25">
      <c r="A51" s="10"/>
      <c r="B51" s="26" t="str">
        <f>"اجمالى عدد "&amp;COUNTIF(C8:C50,"*")&amp;" كارت بمبلغ"</f>
        <v>اجمالى عدد 0 كارت بمبلغ</v>
      </c>
      <c r="C51" s="26"/>
      <c r="D51" s="27"/>
      <c r="E51" s="17">
        <f>SUM(E8:E50)</f>
        <v>0</v>
      </c>
      <c r="F51" s="29" t="str">
        <f>NoToTxt(E51,"جنيه","قرش")&amp;" لاغير  "</f>
        <v xml:space="preserve">صفر لاغير  </v>
      </c>
      <c r="G51" s="30"/>
      <c r="H51" s="11">
        <f>COUNTIF(C8:C50,"*")</f>
        <v>0</v>
      </c>
    </row>
    <row r="52" spans="1:8" ht="23.4" customHeight="1" x14ac:dyDescent="0.25">
      <c r="A52" s="25" t="str">
        <f>" يتم السداد علي  "&amp;F8&amp; " شهر وفقا لشروط التعاقد  "</f>
        <v xml:space="preserve"> يتم السداد علي   شهر وفقا لشروط التعاقد  </v>
      </c>
      <c r="B52" s="25"/>
      <c r="C52" s="25"/>
      <c r="D52" s="25"/>
      <c r="E52" s="25"/>
      <c r="F52" s="25"/>
      <c r="G52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52:G52"/>
    <mergeCell ref="B51:D51"/>
    <mergeCell ref="A5:E5"/>
    <mergeCell ref="F51:G51"/>
    <mergeCell ref="A1:C1"/>
    <mergeCell ref="A2:C2"/>
    <mergeCell ref="A6:G6"/>
    <mergeCell ref="A3:C3"/>
    <mergeCell ref="F1:G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2025-04-14T11:13:13Z</cp:lastPrinted>
  <dcterms:created xsi:type="dcterms:W3CDTF">2004-03-18T13:46:53Z</dcterms:created>
  <dcterms:modified xsi:type="dcterms:W3CDTF">2025-05-08T11:58:09Z</dcterms:modified>
</cp:coreProperties>
</file>